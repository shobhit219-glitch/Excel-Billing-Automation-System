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bh\Documents\"/>
    </mc:Choice>
  </mc:AlternateContent>
  <xr:revisionPtr revIDLastSave="0" documentId="13_ncr:1_{0708D295-757A-42A3-BB09-F4A45E7C473C}" xr6:coauthVersionLast="47" xr6:coauthVersionMax="47" xr10:uidLastSave="{00000000-0000-0000-0000-000000000000}"/>
  <bookViews>
    <workbookView xWindow="-110" yWindow="-110" windowWidth="19420" windowHeight="10660" tabRatio="660" activeTab="5" xr2:uid="{00000000-000D-0000-FFFF-FFFF00000000}"/>
  </bookViews>
  <sheets>
    <sheet name="INSTRUCTIONS" sheetId="1" r:id="rId1"/>
    <sheet name="CUSTOMER REGISTER" sheetId="2" r:id="rId2"/>
    <sheet name="_INVOICE_COUNTER" sheetId="3" state="hidden" r:id="rId3"/>
    <sheet name="INVOICE" sheetId="4" r:id="rId4"/>
    <sheet name="SALES REGISTER" sheetId="5" r:id="rId5"/>
    <sheet name="COMPANY SUMMARY" sheetId="6" r:id="rId6"/>
  </sheets>
  <definedNames>
    <definedName name="_xlnm.Print_Area" localSheetId="3">INVOICE!$A$1:$G$39</definedName>
  </definedNames>
  <calcPr calcId="191029" iterateDelta="1E-4"/>
</workbook>
</file>

<file path=xl/calcChain.xml><?xml version="1.0" encoding="utf-8"?>
<calcChain xmlns="http://schemas.openxmlformats.org/spreadsheetml/2006/main">
  <c r="F11" i="4" l="1"/>
  <c r="F12" i="4"/>
  <c r="F13" i="4"/>
  <c r="F30" i="6"/>
  <c r="B29" i="6"/>
  <c r="F29" i="6" s="1"/>
  <c r="E28" i="6"/>
  <c r="C28" i="6"/>
  <c r="B28" i="6"/>
  <c r="D28" i="6" s="1"/>
  <c r="B27" i="6"/>
  <c r="F27" i="6" s="1"/>
  <c r="E26" i="6"/>
  <c r="B26" i="6"/>
  <c r="F26" i="6" s="1"/>
  <c r="D25" i="6"/>
  <c r="B25" i="6"/>
  <c r="C25" i="6" s="1"/>
  <c r="F24" i="6"/>
  <c r="E24" i="6"/>
  <c r="D24" i="6"/>
  <c r="B24" i="6"/>
  <c r="C24" i="6" s="1"/>
  <c r="B23" i="6"/>
  <c r="E23" i="6" s="1"/>
  <c r="F22" i="6"/>
  <c r="D22" i="6"/>
  <c r="C22" i="6"/>
  <c r="B22" i="6"/>
  <c r="E22" i="6" s="1"/>
  <c r="F21" i="6"/>
  <c r="E21" i="6"/>
  <c r="D21" i="6"/>
  <c r="C21" i="6"/>
  <c r="B21" i="6"/>
  <c r="E20" i="6"/>
  <c r="B20" i="6"/>
  <c r="D20" i="6" s="1"/>
  <c r="F19" i="6"/>
  <c r="B19" i="6"/>
  <c r="E19" i="6" s="1"/>
  <c r="D18" i="6"/>
  <c r="C18" i="6"/>
  <c r="B18" i="6"/>
  <c r="F18" i="6" s="1"/>
  <c r="D17" i="6"/>
  <c r="B17" i="6"/>
  <c r="C17" i="6" s="1"/>
  <c r="F16" i="6"/>
  <c r="E16" i="6"/>
  <c r="D16" i="6"/>
  <c r="B16" i="6"/>
  <c r="C16" i="6" s="1"/>
  <c r="B15" i="6"/>
  <c r="E15" i="6" s="1"/>
  <c r="F14" i="6"/>
  <c r="D14" i="6"/>
  <c r="C14" i="6"/>
  <c r="B14" i="6"/>
  <c r="E14" i="6" s="1"/>
  <c r="F13" i="6"/>
  <c r="E13" i="6"/>
  <c r="D13" i="6"/>
  <c r="C13" i="6"/>
  <c r="B13" i="6"/>
  <c r="B12" i="6"/>
  <c r="D12" i="6" s="1"/>
  <c r="F11" i="6"/>
  <c r="B11" i="6"/>
  <c r="E11" i="6" s="1"/>
  <c r="D10" i="6"/>
  <c r="C10" i="6"/>
  <c r="B10" i="6"/>
  <c r="F10" i="6" s="1"/>
  <c r="D9" i="6"/>
  <c r="B9" i="6"/>
  <c r="C9" i="6" s="1"/>
  <c r="F8" i="6"/>
  <c r="E8" i="6"/>
  <c r="D8" i="6"/>
  <c r="B8" i="6"/>
  <c r="C8" i="6" s="1"/>
  <c r="B7" i="6"/>
  <c r="E7" i="6" s="1"/>
  <c r="F6" i="6"/>
  <c r="D6" i="6"/>
  <c r="C6" i="6"/>
  <c r="B6" i="6"/>
  <c r="E6" i="6" s="1"/>
  <c r="F5" i="6"/>
  <c r="E5" i="6"/>
  <c r="D5" i="6"/>
  <c r="C5" i="6"/>
  <c r="B5" i="6"/>
  <c r="B4" i="6"/>
  <c r="D4" i="6" s="1"/>
  <c r="G203" i="5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G8" i="4"/>
  <c r="B8" i="4"/>
  <c r="G6" i="4"/>
  <c r="E6" i="4"/>
  <c r="B6" i="4"/>
  <c r="F31" i="4" l="1"/>
  <c r="F33" i="4" s="1"/>
  <c r="A34" i="4" s="1"/>
  <c r="E25" i="6"/>
  <c r="C27" i="6"/>
  <c r="F28" i="6"/>
  <c r="C7" i="6"/>
  <c r="F4" i="6"/>
  <c r="E9" i="6"/>
  <c r="C11" i="6"/>
  <c r="F12" i="6"/>
  <c r="E17" i="6"/>
  <c r="C19" i="6"/>
  <c r="F20" i="6"/>
  <c r="F9" i="6"/>
  <c r="D11" i="6"/>
  <c r="F17" i="6"/>
  <c r="D19" i="6"/>
  <c r="F25" i="6"/>
  <c r="D27" i="6"/>
  <c r="E4" i="6"/>
  <c r="F7" i="6"/>
  <c r="E12" i="6"/>
  <c r="F15" i="6"/>
  <c r="F23" i="6"/>
  <c r="E27" i="6"/>
  <c r="C29" i="6"/>
  <c r="C26" i="6"/>
  <c r="D29" i="6"/>
  <c r="C23" i="6"/>
  <c r="D26" i="6"/>
  <c r="E29" i="6"/>
  <c r="C15" i="6"/>
  <c r="C4" i="6"/>
  <c r="D7" i="6"/>
  <c r="E10" i="6"/>
  <c r="C12" i="6"/>
  <c r="D15" i="6"/>
  <c r="E18" i="6"/>
  <c r="C20" i="6"/>
  <c r="D23" i="6"/>
  <c r="E30" i="6" l="1"/>
</calcChain>
</file>

<file path=xl/sharedStrings.xml><?xml version="1.0" encoding="utf-8"?>
<sst xmlns="http://schemas.openxmlformats.org/spreadsheetml/2006/main" count="162" uniqueCount="137">
  <si>
    <t>SHOBHIT ENTERPRISES — BILLING MACRO SETUP GUIDE</t>
  </si>
  <si>
    <t>WHAT THE MACRO DOES</t>
  </si>
  <si>
    <t>When you click Save Invoice, it will automatically:</t>
  </si>
  <si>
    <t xml:space="preserve">  ✔  Save the bill to the Sales Register</t>
  </si>
  <si>
    <t xml:space="preserve">  ✔  Create a company folder (e.g.  C:\ShobhitEnterprises\Bills\ZAZ WORLD\)</t>
  </si>
  <si>
    <t xml:space="preserve">  ✔  Export the invoice as a PDF into that folder</t>
  </si>
  <si>
    <t xml:space="preserve">  ✔  Add a clickable 'Open Folder' link in the Company Summary sheet</t>
  </si>
  <si>
    <t>STEP 1 — Open the VBA Editor  (one-time setup)</t>
  </si>
  <si>
    <t xml:space="preserve">  1. Open this .xlsx file in Microsoft Excel.</t>
  </si>
  <si>
    <t xml:space="preserve">  2. Press  Alt + F11  to open the Visual Basic Editor.</t>
  </si>
  <si>
    <t xml:space="preserve">     If Alt+F11 does not work: click Developer tab → Visual Basic</t>
  </si>
  <si>
    <t xml:space="preserve">     (To show Developer tab: File → Options → Customize Ribbon → check Developer)</t>
  </si>
  <si>
    <t>STEP 2 — Paste the Macro Code</t>
  </si>
  <si>
    <t xml:space="preserve">  3. In the VBA editor, look at the left panel. Find your workbook name.</t>
  </si>
  <si>
    <t xml:space="preserve">  4. Right-click on it → Insert → Module</t>
  </si>
  <si>
    <t xml:space="preserve">  5. A blank white code window opens.</t>
  </si>
  <si>
    <t xml:space="preserve">  6. Open the file  BillingMacros.bas  in Notepad (right-click → Open with → Notepad)</t>
  </si>
  <si>
    <t xml:space="preserve">  7. Select All (Ctrl+A) → Copy (Ctrl+C)</t>
  </si>
  <si>
    <t xml:space="preserve">  8. Click inside the blank VBA code window → Paste (Ctrl+V)</t>
  </si>
  <si>
    <t>STEP 3 — Set Your Save Folder</t>
  </si>
  <si>
    <t xml:space="preserve">  9. In the pasted code, find this line near the top:</t>
  </si>
  <si>
    <t xml:space="preserve">       Const PDF_BASE_FOLDER As String = "C:\ShobhitEnterprises\Bills\"</t>
  </si>
  <si>
    <t xml:space="preserve">  10. Change  C:\ShobhitEnterprises\Bills\  to any folder path you prefer.</t>
  </si>
  <si>
    <t xml:space="preserve">       Example:  D:\MyBusiness\Bills\   or   C:\Users\Shobhit\Bills\</t>
  </si>
  <si>
    <t>STEP 4 — Save as Macro-Enabled Format</t>
  </si>
  <si>
    <t xml:space="preserve">  11. Close the VBA editor (X button or Alt+Q).</t>
  </si>
  <si>
    <t xml:space="preserve">  12. Press Ctrl+S. Excel will ask you to save as .xlsm — click YES.</t>
  </si>
  <si>
    <t xml:space="preserve">  13. When you reopen the file, click "Enable Content" in the yellow bar.</t>
  </si>
  <si>
    <t>STEP 5 — Run the Macro</t>
  </si>
  <si>
    <t xml:space="preserve">  Each time you finish filling an invoice:</t>
  </si>
  <si>
    <t xml:space="preserve">  Press  Alt + F8  →  select  SaveInvoice  →  click Run</t>
  </si>
  <si>
    <t xml:space="preserve">  Or go to Developer tab → Macros → SaveInvoice → Run</t>
  </si>
  <si>
    <t>OTHER MACROS AVAILABLE</t>
  </si>
  <si>
    <t xml:space="preserve">  ClearInvoice   — Clears the invoice form for a new entry</t>
  </si>
  <si>
    <t xml:space="preserve">  PrintInvoice   — Prints the invoice on A4</t>
  </si>
  <si>
    <t>PDF FOLDER STRUCTURE (example)</t>
  </si>
  <si>
    <t xml:space="preserve">  C:\ShobhitEnterprises\Bills\</t>
  </si>
  <si>
    <t xml:space="preserve">       ZAZ WORLD\</t>
  </si>
  <si>
    <t xml:space="preserve">            INV-0004-2026-2027_05Apr2026.pdf</t>
  </si>
  <si>
    <t xml:space="preserve">            INV-0007-2026-2027_12May2026.pdf</t>
  </si>
  <si>
    <t xml:space="preserve">       MODEL TANNERS\</t>
  </si>
  <si>
    <t xml:space="preserve">            INV-0005-2026-2027_06Apr2026.pdf</t>
  </si>
  <si>
    <t>SHOBHIT ENTERPRISES – CUSTOMER REGISTER</t>
  </si>
  <si>
    <t>SR.</t>
  </si>
  <si>
    <t>COMPANY NAME</t>
  </si>
  <si>
    <t>ADDRESS</t>
  </si>
  <si>
    <t>CONTACT NO.</t>
  </si>
  <si>
    <t>NOTES</t>
  </si>
  <si>
    <t>MODEL TANNERS</t>
  </si>
  <si>
    <t>Industrial Area, Banthar</t>
  </si>
  <si>
    <t>6306805026</t>
  </si>
  <si>
    <t>UNIQUE INTERNATIONAL</t>
  </si>
  <si>
    <t>Jajmau, Kanpur</t>
  </si>
  <si>
    <t>9415125327</t>
  </si>
  <si>
    <t>NORTHERN LEATHER PRODUCTS</t>
  </si>
  <si>
    <t>9839068127</t>
  </si>
  <si>
    <t>ALEENA EXIM</t>
  </si>
  <si>
    <t>9415042758</t>
  </si>
  <si>
    <t>ACE EXPORT</t>
  </si>
  <si>
    <t>Ind. Area, Unnao</t>
  </si>
  <si>
    <t>9956244877</t>
  </si>
  <si>
    <t>ALLIED EXIM</t>
  </si>
  <si>
    <t>9670755206</t>
  </si>
  <si>
    <t>ALLIED LEATHER FINISHER</t>
  </si>
  <si>
    <t>CHARLI SHOES</t>
  </si>
  <si>
    <t>WAMS EXPORT</t>
  </si>
  <si>
    <t>NAAZ EXPORT</t>
  </si>
  <si>
    <t>RISER EXPORT</t>
  </si>
  <si>
    <t>WAMS EXIM</t>
  </si>
  <si>
    <t>NATIONAL EXIM</t>
  </si>
  <si>
    <t>9839050923</t>
  </si>
  <si>
    <t>MODEL ECHOES</t>
  </si>
  <si>
    <t>RUKHS INTERNATIONAL</t>
  </si>
  <si>
    <t>Ind. Area, Banthar</t>
  </si>
  <si>
    <t>NINEK NANOTECH PVT LTD</t>
  </si>
  <si>
    <t>Sheshpur Narhi, Banrher, Unnao</t>
  </si>
  <si>
    <t>9918104734</t>
  </si>
  <si>
    <t>SUPER TANNERY LIMITED</t>
  </si>
  <si>
    <t>Fashion Shoe Div. 6, Akarampur, Unnao-209801</t>
  </si>
  <si>
    <t>0512-3935747</t>
  </si>
  <si>
    <t>EURO INDIA EXPORT</t>
  </si>
  <si>
    <t>9670288389</t>
  </si>
  <si>
    <t>SULTAN TANNERS &amp; LEATHER PRODUCTS</t>
  </si>
  <si>
    <t>372/373 Sultan Villa, Jajmau, Kanpur</t>
  </si>
  <si>
    <t>9839888868</t>
  </si>
  <si>
    <t>ROYAL EXPORT</t>
  </si>
  <si>
    <t>393/B Avas Vikas Colony, Unnao-209801</t>
  </si>
  <si>
    <t>9559212223</t>
  </si>
  <si>
    <t>SG EXPORTS</t>
  </si>
  <si>
    <t>D-198 EPIP Site-V, Kasna, Gr. Noida-201306</t>
  </si>
  <si>
    <t>ZAZ WORLD</t>
  </si>
  <si>
    <t>150 Feet Road, Gajju Purwa, Jajmau, Kanpur</t>
  </si>
  <si>
    <t>BAL JARU INDIA PVT LTD</t>
  </si>
  <si>
    <t>14-A, 150 Feet Road, Jajmau, Kanpur-208010</t>
  </si>
  <si>
    <t>PERVEZ SHOES PVT LTD</t>
  </si>
  <si>
    <t>9935606629</t>
  </si>
  <si>
    <t>ADEEBA INTERNATIONAL</t>
  </si>
  <si>
    <t>123/1 Chabeliypurwa, Jajmau, Kanpur</t>
  </si>
  <si>
    <t>ALEX INTERNATIONAL</t>
  </si>
  <si>
    <t>Pandu Nagar, Kanpur</t>
  </si>
  <si>
    <t>↑  Add new customers here. INVOICE sheet picks up this list automatically.</t>
  </si>
  <si>
    <t>LAST_INV_NO</t>
  </si>
  <si>
    <t>FIN_YEAR_START</t>
  </si>
  <si>
    <t>SHOBHIT ENTERPRISES</t>
  </si>
  <si>
    <t>219/5 J.K Colony Jajmau  |  Kanpur, Uttar Pradesh</t>
  </si>
  <si>
    <t>Bank: Punjab &amp; Sindh Bank  |  A/C: 06241100001334  |  IFSC: PSIB0000624</t>
  </si>
  <si>
    <t>INVOICE NO:</t>
  </si>
  <si>
    <t>DATE:</t>
  </si>
  <si>
    <t>BILL TO:</t>
  </si>
  <si>
    <t>ADDRESS:</t>
  </si>
  <si>
    <t>CONTACT:</t>
  </si>
  <si>
    <t>DESCRIPTION OF ARTICLE</t>
  </si>
  <si>
    <t>SIZE / SPEC</t>
  </si>
  <si>
    <t>QTY
(Pcs)</t>
  </si>
  <si>
    <t>RATE
(₹)</t>
  </si>
  <si>
    <t>AMOUNT  (₹)</t>
  </si>
  <si>
    <t>SUB-TOTAL  (₹):</t>
  </si>
  <si>
    <t>FREIGHT / MISC CHARGES  (₹):</t>
  </si>
  <si>
    <t>GRAND TOTAL  (₹):</t>
  </si>
  <si>
    <t>Terms &amp; Conditions:
1. Payment due within 30 days.
2. Goods once sold will not be taken back.
3. Subject to Kanpur jurisdiction.</t>
  </si>
  <si>
    <t>For SHOBHIT ENTERPRISES
Authorised Signatory</t>
  </si>
  <si>
    <t>SHOBHIT ENTERPRISES – SALES REGISTER</t>
  </si>
  <si>
    <t>INVOICE NO.</t>
  </si>
  <si>
    <t>PARTY NAME</t>
  </si>
  <si>
    <t>DATE</t>
  </si>
  <si>
    <t>QTY (Pcs)</t>
  </si>
  <si>
    <t>AMOUNT (₹)</t>
  </si>
  <si>
    <t>GRAND TOTAL</t>
  </si>
  <si>
    <t>SHOBHIT ENTERPRISES – COMPANY-WISE SUMMARY</t>
  </si>
  <si>
    <t>Auto-fetches name, address &amp; contact from Customer Register. Total Billed = live SUMIF from Sales Register.</t>
  </si>
  <si>
    <t>TOTAL BILLED (₹)</t>
  </si>
  <si>
    <t>PDF FOLDER LINK</t>
  </si>
  <si>
    <t>GRAND TOTAL BILLED</t>
  </si>
  <si>
    <t>INV-0009/2026-2027</t>
  </si>
  <si>
    <t>pattern grading</t>
  </si>
  <si>
    <t>12 to 15</t>
  </si>
  <si>
    <t>INV-0010/2026-2027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</si>
</sst>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₹#,##0.00"/>
    <numFmt numFmtId="165" formatCode="dd\-mmm\-yyyy"/>
  </numFmts>
  <fonts count="35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b/>
      <sz val="10"/>
      <color rgb="FFFFFFFF"/>
      <name val="Arial"/>
      <charset val="1"/>
    </font>
    <font>
      <sz val="9"/>
      <color rgb="FF000000"/>
      <name val="Arial"/>
      <charset val="1"/>
    </font>
    <font>
      <i/>
      <sz val="9"/>
      <color rgb="FF7F7F7F"/>
      <name val="Arial"/>
      <charset val="1"/>
    </font>
    <font>
      <b/>
      <sz val="11"/>
      <name val="Arial"/>
      <charset val="1"/>
    </font>
    <font>
      <b/>
      <sz val="9"/>
      <color rgb="FF1F3864"/>
      <name val="Arial"/>
      <charset val="1"/>
    </font>
    <font>
      <b/>
      <sz val="10"/>
      <color rgb="FFC00000"/>
      <name val="Arial"/>
      <charset val="1"/>
    </font>
    <font>
      <sz val="9"/>
      <color rgb="FF444444"/>
      <name val="Arial"/>
      <charset val="1"/>
    </font>
    <font>
      <b/>
      <sz val="9"/>
      <color rgb="FFFFFFFF"/>
      <name val="Arial"/>
      <charset val="1"/>
    </font>
    <font>
      <b/>
      <sz val="10"/>
      <color rgb="FF1F3864"/>
      <name val="Arial"/>
      <charset val="1"/>
    </font>
    <font>
      <b/>
      <sz val="12"/>
      <color rgb="FFFFFFFF"/>
      <name val="Arial"/>
      <charset val="1"/>
    </font>
    <font>
      <sz val="8"/>
      <color rgb="FF555555"/>
      <name val="Arial"/>
      <charset val="1"/>
    </font>
    <font>
      <b/>
      <sz val="11"/>
      <color rgb="FFFFFFFF"/>
      <name val="Arial"/>
      <charset val="1"/>
    </font>
    <font>
      <i/>
      <sz val="8"/>
      <color rgb="FF555555"/>
      <name val="Arial"/>
      <charset val="1"/>
    </font>
    <font>
      <b/>
      <sz val="14"/>
      <color rgb="FFFFFFFF"/>
      <name val="Arial"/>
    </font>
    <font>
      <sz val="9"/>
      <color rgb="FFFFFFFF"/>
      <name val="Arial"/>
    </font>
    <font>
      <b/>
      <sz val="8"/>
      <color rgb="FFFFFFFF"/>
      <name val="Arial"/>
    </font>
    <font>
      <b/>
      <sz val="9"/>
      <color rgb="FF000000"/>
      <name val="Arial"/>
    </font>
    <font>
      <b/>
      <sz val="10"/>
      <color rgb="FF000000"/>
      <name val="Arial"/>
    </font>
    <font>
      <sz val="9"/>
      <color rgb="FF000000"/>
      <name val="Arial"/>
    </font>
    <font>
      <b/>
      <sz val="9"/>
      <color rgb="FFFFFFFF"/>
      <name val="Arial"/>
    </font>
    <font>
      <i/>
      <sz val="8"/>
      <color rgb="FF404040"/>
      <name val="Arial"/>
    </font>
    <font>
      <sz val="8"/>
      <color rgb="FF404040"/>
      <name val="Arial"/>
    </font>
    <font>
      <i/>
      <sz val="8"/>
      <color rgb="FF808080"/>
      <name val="Arial"/>
    </font>
    <font>
      <b/>
      <sz val="13"/>
      <color rgb="FFFFFFFF"/>
      <name val="Arial"/>
    </font>
    <font>
      <sz val="10"/>
      <color rgb="FF000000"/>
      <name val="Arial"/>
    </font>
    <font>
      <b/>
      <sz val="10"/>
      <color rgb="FFFFFFFF"/>
      <name val="Arial"/>
    </font>
    <font>
      <sz val="9"/>
      <color rgb="FF555555"/>
      <name val="Arial"/>
    </font>
    <font>
      <b/>
      <sz val="9"/>
      <color rgb="FFCC0000"/>
      <name val="Arial"/>
    </font>
    <font>
      <b/>
      <sz val="10"/>
      <color rgb="FF1A1A1A"/>
      <name val="Arial"/>
    </font>
    <font>
      <u/>
      <sz val="11"/>
      <color theme="10"/>
      <name val="Calibri"/>
      <family val="2"/>
      <charset val="1"/>
    </font>
    <font>
      <u/>
      <sz val="11"/>
      <color rgb="FF0070C0"/>
      <name val="Calibri"/>
      <family val="2"/>
    </font>
    <font>
      <sz val="9"/>
      <color rgb="FF000000"/>
      <name val="Arial"/>
      <family val="2"/>
    </font>
    <font>
      <b/>
      <sz val="9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1F3864"/>
        <bgColor rgb="FF203864"/>
      </patternFill>
    </fill>
    <fill>
      <patternFill patternType="solid">
        <fgColor rgb="FF203864"/>
        <bgColor rgb="FF1F3864"/>
      </patternFill>
    </fill>
    <fill>
      <patternFill patternType="solid">
        <fgColor rgb="FFFFFFFF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D6E4F0"/>
        <bgColor rgb="FFF2F2F2"/>
      </patternFill>
    </fill>
    <fill>
      <patternFill patternType="solid">
        <fgColor rgb="FFFFF2CC"/>
        <bgColor rgb="FFFAEDC8"/>
      </patternFill>
    </fill>
    <fill>
      <patternFill patternType="solid">
        <fgColor rgb="FFFAEDC8"/>
        <bgColor rgb="FFFFF2CC"/>
      </patternFill>
    </fill>
    <fill>
      <patternFill patternType="solid">
        <fgColor rgb="FF1A1A1A"/>
      </patternFill>
    </fill>
    <fill>
      <patternFill patternType="solid">
        <fgColor rgb="FF404040"/>
      </patternFill>
    </fill>
    <fill>
      <patternFill patternType="solid">
        <fgColor rgb="FFD9D9D9"/>
      </patternFill>
    </fill>
    <fill>
      <patternFill patternType="solid">
        <fgColor rgb="FFF5F5F5"/>
      </patternFill>
    </fill>
    <fill>
      <patternFill patternType="solid">
        <fgColor rgb="FFFFFFFF"/>
      </patternFill>
    </fill>
    <fill>
      <patternFill patternType="solid">
        <fgColor rgb="FFF7F7F7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hair">
        <color rgb="FF999999"/>
      </left>
      <right style="hair">
        <color rgb="FF999999"/>
      </right>
      <top style="hair">
        <color rgb="FF999999"/>
      </top>
      <bottom style="hair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81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 wrapText="1"/>
    </xf>
    <xf numFmtId="0" fontId="5" fillId="0" borderId="0" xfId="0" applyFont="1"/>
    <xf numFmtId="0" fontId="9" fillId="3" borderId="1" xfId="0" applyFont="1" applyFill="1" applyBorder="1" applyAlignment="1">
      <alignment horizontal="center" vertical="center" wrapText="1"/>
    </xf>
    <xf numFmtId="164" fontId="3" fillId="5" borderId="1" xfId="0" applyNumberFormat="1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164" fontId="13" fillId="2" borderId="1" xfId="0" applyNumberFormat="1" applyFont="1" applyFill="1" applyBorder="1" applyAlignment="1">
      <alignment horizontal="right" vertical="center"/>
    </xf>
    <xf numFmtId="0" fontId="10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left" vertical="center" wrapText="1"/>
    </xf>
    <xf numFmtId="164" fontId="7" fillId="7" borderId="1" xfId="0" applyNumberFormat="1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 wrapText="1"/>
    </xf>
    <xf numFmtId="164" fontId="7" fillId="8" borderId="1" xfId="0" applyNumberFormat="1" applyFont="1" applyFill="1" applyBorder="1" applyAlignment="1">
      <alignment horizontal="right" vertical="center"/>
    </xf>
    <xf numFmtId="164" fontId="11" fillId="2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right" vertical="center"/>
    </xf>
    <xf numFmtId="0" fontId="20" fillId="12" borderId="1" xfId="0" applyFont="1" applyFill="1" applyBorder="1" applyAlignment="1">
      <alignment horizontal="left" vertical="center"/>
    </xf>
    <xf numFmtId="0" fontId="21" fillId="9" borderId="1" xfId="0" applyFont="1" applyFill="1" applyBorder="1" applyAlignment="1">
      <alignment horizontal="center" vertical="center" wrapText="1"/>
    </xf>
    <xf numFmtId="0" fontId="20" fillId="13" borderId="8" xfId="0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left" vertical="center"/>
    </xf>
    <xf numFmtId="0" fontId="20" fillId="13" borderId="8" xfId="0" applyFont="1" applyFill="1" applyBorder="1"/>
    <xf numFmtId="0" fontId="20" fillId="14" borderId="8" xfId="0" applyFont="1" applyFill="1" applyBorder="1" applyAlignment="1">
      <alignment horizontal="center" vertical="center"/>
    </xf>
    <xf numFmtId="0" fontId="20" fillId="14" borderId="8" xfId="0" applyFont="1" applyFill="1" applyBorder="1"/>
    <xf numFmtId="0" fontId="20" fillId="14" borderId="8" xfId="0" applyFont="1" applyFill="1" applyBorder="1" applyAlignment="1">
      <alignment horizontal="left" vertical="center"/>
    </xf>
    <xf numFmtId="4" fontId="20" fillId="14" borderId="8" xfId="0" applyNumberFormat="1" applyFont="1" applyFill="1" applyBorder="1" applyAlignment="1">
      <alignment horizontal="center" vertical="center"/>
    </xf>
    <xf numFmtId="4" fontId="20" fillId="13" borderId="8" xfId="0" applyNumberFormat="1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4" fontId="3" fillId="4" borderId="1" xfId="0" applyNumberFormat="1" applyFont="1" applyFill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33" fillId="13" borderId="8" xfId="0" applyFont="1" applyFill="1" applyBorder="1" applyAlignment="1">
      <alignment horizontal="left" vertical="center"/>
    </xf>
    <xf numFmtId="17" fontId="33" fillId="13" borderId="8" xfId="0" applyNumberFormat="1" applyFont="1" applyFill="1" applyBorder="1"/>
    <xf numFmtId="4" fontId="3" fillId="5" borderId="1" xfId="0" applyNumberFormat="1" applyFont="1" applyFill="1" applyBorder="1" applyAlignment="1">
      <alignment horizontal="center" vertical="center"/>
    </xf>
    <xf numFmtId="0" fontId="32" fillId="0" borderId="0" xfId="1" applyFont="1"/>
    <xf numFmtId="0" fontId="25" fillId="9" borderId="0" xfId="0" applyFont="1" applyFill="1" applyAlignment="1">
      <alignment horizontal="left" vertical="center"/>
    </xf>
    <xf numFmtId="0" fontId="0" fillId="0" borderId="0" xfId="0"/>
    <xf numFmtId="0" fontId="26" fillId="0" borderId="0" xfId="0" applyFont="1" applyAlignment="1">
      <alignment horizontal="left" vertical="center" indent="1"/>
    </xf>
    <xf numFmtId="0" fontId="27" fillId="10" borderId="0" xfId="0" applyFont="1" applyFill="1" applyAlignment="1">
      <alignment horizontal="left" vertical="center"/>
    </xf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164" fontId="20" fillId="13" borderId="8" xfId="0" applyNumberFormat="1" applyFont="1" applyFill="1" applyBorder="1" applyAlignment="1">
      <alignment horizontal="right" vertical="center"/>
    </xf>
    <xf numFmtId="0" fontId="20" fillId="13" borderId="8" xfId="0" applyFont="1" applyFill="1" applyBorder="1"/>
    <xf numFmtId="0" fontId="21" fillId="9" borderId="1" xfId="0" applyFont="1" applyFill="1" applyBorder="1" applyAlignment="1">
      <alignment horizontal="center" vertical="center" wrapText="1"/>
    </xf>
    <xf numFmtId="0" fontId="21" fillId="9" borderId="6" xfId="0" applyFont="1" applyFill="1" applyBorder="1" applyAlignment="1">
      <alignment horizontal="center" vertical="center" wrapText="1"/>
    </xf>
    <xf numFmtId="164" fontId="20" fillId="14" borderId="8" xfId="0" applyNumberFormat="1" applyFont="1" applyFill="1" applyBorder="1" applyAlignment="1">
      <alignment horizontal="right" vertical="center"/>
    </xf>
    <xf numFmtId="0" fontId="20" fillId="14" borderId="8" xfId="0" applyFont="1" applyFill="1" applyBorder="1"/>
    <xf numFmtId="0" fontId="23" fillId="4" borderId="0" xfId="0" applyFont="1" applyFill="1" applyAlignment="1">
      <alignment horizontal="left" vertical="top" wrapText="1"/>
    </xf>
    <xf numFmtId="0" fontId="18" fillId="0" borderId="0" xfId="0" applyFont="1" applyAlignment="1">
      <alignment horizontal="center" vertical="center" wrapText="1"/>
    </xf>
    <xf numFmtId="0" fontId="22" fillId="12" borderId="2" xfId="0" applyFont="1" applyFill="1" applyBorder="1" applyAlignment="1">
      <alignment horizontal="left" vertical="center" wrapText="1"/>
    </xf>
    <xf numFmtId="0" fontId="0" fillId="0" borderId="5" xfId="0" applyBorder="1"/>
    <xf numFmtId="164" fontId="18" fillId="11" borderId="9" xfId="0" applyNumberFormat="1" applyFont="1" applyFill="1" applyBorder="1" applyAlignment="1">
      <alignment horizontal="right" vertical="center"/>
    </xf>
    <xf numFmtId="0" fontId="18" fillId="11" borderId="9" xfId="0" applyFont="1" applyFill="1" applyBorder="1"/>
    <xf numFmtId="164" fontId="18" fillId="15" borderId="9" xfId="0" applyNumberFormat="1" applyFont="1" applyFill="1" applyBorder="1" applyAlignment="1">
      <alignment horizontal="right" vertical="center"/>
    </xf>
    <xf numFmtId="0" fontId="18" fillId="15" borderId="9" xfId="0" applyFont="1" applyFill="1" applyBorder="1"/>
    <xf numFmtId="0" fontId="12" fillId="5" borderId="3" xfId="0" applyFont="1" applyFill="1" applyBorder="1" applyAlignment="1">
      <alignment horizontal="left" vertical="top" wrapText="1"/>
    </xf>
    <xf numFmtId="0" fontId="0" fillId="0" borderId="4" xfId="0" applyBorder="1"/>
    <xf numFmtId="0" fontId="0" fillId="0" borderId="7" xfId="0" applyBorder="1"/>
    <xf numFmtId="0" fontId="18" fillId="11" borderId="9" xfId="0" applyFont="1" applyFill="1" applyBorder="1" applyAlignment="1">
      <alignment horizontal="right" vertical="center"/>
    </xf>
    <xf numFmtId="0" fontId="34" fillId="15" borderId="9" xfId="0" applyFont="1" applyFill="1" applyBorder="1" applyAlignment="1">
      <alignment horizontal="right" vertical="center"/>
    </xf>
    <xf numFmtId="0" fontId="16" fillId="10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wrapText="1"/>
    </xf>
    <xf numFmtId="0" fontId="17" fillId="10" borderId="0" xfId="0" applyFont="1" applyFill="1" applyAlignment="1">
      <alignment horizontal="center" vertical="center"/>
    </xf>
    <xf numFmtId="165" fontId="18" fillId="12" borderId="2" xfId="0" applyNumberFormat="1" applyFont="1" applyFill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8" fillId="12" borderId="2" xfId="0" applyFont="1" applyFill="1" applyBorder="1" applyAlignment="1">
      <alignment horizontal="center" vertical="center"/>
    </xf>
    <xf numFmtId="0" fontId="20" fillId="12" borderId="2" xfId="0" applyFont="1" applyFill="1" applyBorder="1" applyAlignment="1">
      <alignment horizontal="left" vertical="center" wrapText="1"/>
    </xf>
    <xf numFmtId="0" fontId="13" fillId="2" borderId="2" xfId="0" applyFont="1" applyFill="1" applyBorder="1" applyAlignment="1">
      <alignment horizontal="right" vertical="center"/>
    </xf>
    <xf numFmtId="0" fontId="14" fillId="6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F2F2F2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AEDC8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C9A227"/>
      <rgbColor rgb="FFFF6600"/>
      <rgbColor rgb="FF555555"/>
      <rgbColor rgb="FF70AD47"/>
      <rgbColor rgb="FF1F3864"/>
      <rgbColor rgb="FF339966"/>
      <rgbColor rgb="FF003300"/>
      <rgbColor rgb="FF333300"/>
      <rgbColor rgb="FF993300"/>
      <rgbColor rgb="FF993366"/>
      <rgbColor rgb="FF203864"/>
      <rgbColor rgb="FF44444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../DocumentsADEEBA%20INTERNATIONAL/" TargetMode="External"/><Relationship Id="rId2" Type="http://schemas.openxmlformats.org/officeDocument/2006/relationships/hyperlink" Target="../DocumentsPERVEZ%20SHOES%20PVT%20LTD/" TargetMode="External"/><Relationship Id="rId1" Type="http://schemas.openxmlformats.org/officeDocument/2006/relationships/hyperlink" Target="../DocumentsZAZ%20WORLD/" TargetMode="External"/><Relationship Id="rId4" Type="http://schemas.openxmlformats.org/officeDocument/2006/relationships/hyperlink" Target="../DocumentsMODEL%20TANNER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H50"/>
  <sheetViews>
    <sheetView showGridLines="0" workbookViewId="0">
      <selection sqref="A1:H1"/>
    </sheetView>
  </sheetViews>
  <sheetFormatPr defaultRowHeight="14.5" x14ac:dyDescent="0.35"/>
  <cols>
    <col min="1" max="1" width="90" customWidth="1"/>
  </cols>
  <sheetData>
    <row r="1" spans="1:8" ht="26" customHeight="1" x14ac:dyDescent="0.35">
      <c r="A1" s="43" t="s">
        <v>0</v>
      </c>
      <c r="B1" s="44"/>
      <c r="C1" s="44"/>
      <c r="D1" s="44"/>
      <c r="E1" s="44"/>
      <c r="F1" s="44"/>
      <c r="G1" s="44"/>
      <c r="H1" s="44"/>
    </row>
    <row r="2" spans="1:8" ht="8" customHeight="1" x14ac:dyDescent="0.35">
      <c r="A2" s="45"/>
      <c r="B2" s="44"/>
      <c r="C2" s="44"/>
      <c r="D2" s="44"/>
      <c r="E2" s="44"/>
      <c r="F2" s="44"/>
      <c r="G2" s="44"/>
      <c r="H2" s="44"/>
    </row>
    <row r="3" spans="1:8" ht="20" customHeight="1" x14ac:dyDescent="0.35">
      <c r="A3" s="46" t="s">
        <v>1</v>
      </c>
      <c r="B3" s="44"/>
      <c r="C3" s="44"/>
      <c r="D3" s="44"/>
      <c r="E3" s="44"/>
      <c r="F3" s="44"/>
      <c r="G3" s="44"/>
      <c r="H3" s="44"/>
    </row>
    <row r="4" spans="1:8" ht="18" customHeight="1" x14ac:dyDescent="0.35">
      <c r="A4" s="45" t="s">
        <v>2</v>
      </c>
      <c r="B4" s="44"/>
      <c r="C4" s="44"/>
      <c r="D4" s="44"/>
      <c r="E4" s="44"/>
      <c r="F4" s="44"/>
      <c r="G4" s="44"/>
      <c r="H4" s="44"/>
    </row>
    <row r="5" spans="1:8" ht="16" customHeight="1" x14ac:dyDescent="0.35">
      <c r="A5" s="45" t="s">
        <v>3</v>
      </c>
      <c r="B5" s="44"/>
      <c r="C5" s="44"/>
      <c r="D5" s="44"/>
      <c r="E5" s="44"/>
      <c r="F5" s="44"/>
      <c r="G5" s="44"/>
      <c r="H5" s="44"/>
    </row>
    <row r="6" spans="1:8" ht="16" customHeight="1" x14ac:dyDescent="0.35">
      <c r="A6" s="45" t="s">
        <v>4</v>
      </c>
      <c r="B6" s="44"/>
      <c r="C6" s="44"/>
      <c r="D6" s="44"/>
      <c r="E6" s="44"/>
      <c r="F6" s="44"/>
      <c r="G6" s="44"/>
      <c r="H6" s="44"/>
    </row>
    <row r="7" spans="1:8" ht="16" customHeight="1" x14ac:dyDescent="0.35">
      <c r="A7" s="45" t="s">
        <v>5</v>
      </c>
      <c r="B7" s="44"/>
      <c r="C7" s="44"/>
      <c r="D7" s="44"/>
      <c r="E7" s="44"/>
      <c r="F7" s="44"/>
      <c r="G7" s="44"/>
      <c r="H7" s="44"/>
    </row>
    <row r="8" spans="1:8" ht="16" customHeight="1" x14ac:dyDescent="0.35">
      <c r="A8" s="45" t="s">
        <v>6</v>
      </c>
      <c r="B8" s="44"/>
      <c r="C8" s="44"/>
      <c r="D8" s="44"/>
      <c r="E8" s="44"/>
      <c r="F8" s="44"/>
      <c r="G8" s="44"/>
      <c r="H8" s="44"/>
    </row>
    <row r="9" spans="1:8" ht="8" customHeight="1" x14ac:dyDescent="0.35">
      <c r="A9" s="45"/>
      <c r="B9" s="44"/>
      <c r="C9" s="44"/>
      <c r="D9" s="44"/>
      <c r="E9" s="44"/>
      <c r="F9" s="44"/>
      <c r="G9" s="44"/>
      <c r="H9" s="44"/>
    </row>
    <row r="10" spans="1:8" ht="20" customHeight="1" x14ac:dyDescent="0.35">
      <c r="A10" s="46" t="s">
        <v>7</v>
      </c>
      <c r="B10" s="44"/>
      <c r="C10" s="44"/>
      <c r="D10" s="44"/>
      <c r="E10" s="44"/>
      <c r="F10" s="44"/>
      <c r="G10" s="44"/>
      <c r="H10" s="44"/>
    </row>
    <row r="11" spans="1:8" ht="16" customHeight="1" x14ac:dyDescent="0.35">
      <c r="A11" s="45" t="s">
        <v>8</v>
      </c>
      <c r="B11" s="44"/>
      <c r="C11" s="44"/>
      <c r="D11" s="44"/>
      <c r="E11" s="44"/>
      <c r="F11" s="44"/>
      <c r="G11" s="44"/>
      <c r="H11" s="44"/>
    </row>
    <row r="12" spans="1:8" ht="16" customHeight="1" x14ac:dyDescent="0.35">
      <c r="A12" s="45" t="s">
        <v>9</v>
      </c>
      <c r="B12" s="44"/>
      <c r="C12" s="44"/>
      <c r="D12" s="44"/>
      <c r="E12" s="44"/>
      <c r="F12" s="44"/>
      <c r="G12" s="44"/>
      <c r="H12" s="44"/>
    </row>
    <row r="13" spans="1:8" ht="15" customHeight="1" x14ac:dyDescent="0.35">
      <c r="A13" s="49" t="s">
        <v>10</v>
      </c>
      <c r="B13" s="44"/>
      <c r="C13" s="44"/>
      <c r="D13" s="44"/>
      <c r="E13" s="44"/>
      <c r="F13" s="44"/>
      <c r="G13" s="44"/>
      <c r="H13" s="44"/>
    </row>
    <row r="14" spans="1:8" ht="15" customHeight="1" x14ac:dyDescent="0.35">
      <c r="A14" s="49" t="s">
        <v>11</v>
      </c>
      <c r="B14" s="44"/>
      <c r="C14" s="44"/>
      <c r="D14" s="44"/>
      <c r="E14" s="44"/>
      <c r="F14" s="44"/>
      <c r="G14" s="44"/>
      <c r="H14" s="44"/>
    </row>
    <row r="15" spans="1:8" ht="8" customHeight="1" x14ac:dyDescent="0.35">
      <c r="A15" s="45"/>
      <c r="B15" s="44"/>
      <c r="C15" s="44"/>
      <c r="D15" s="44"/>
      <c r="E15" s="44"/>
      <c r="F15" s="44"/>
      <c r="G15" s="44"/>
      <c r="H15" s="44"/>
    </row>
    <row r="16" spans="1:8" ht="20" customHeight="1" x14ac:dyDescent="0.35">
      <c r="A16" s="46" t="s">
        <v>12</v>
      </c>
      <c r="B16" s="44"/>
      <c r="C16" s="44"/>
      <c r="D16" s="44"/>
      <c r="E16" s="44"/>
      <c r="F16" s="44"/>
      <c r="G16" s="44"/>
      <c r="H16" s="44"/>
    </row>
    <row r="17" spans="1:8" ht="16" customHeight="1" x14ac:dyDescent="0.35">
      <c r="A17" s="45" t="s">
        <v>13</v>
      </c>
      <c r="B17" s="44"/>
      <c r="C17" s="44"/>
      <c r="D17" s="44"/>
      <c r="E17" s="44"/>
      <c r="F17" s="44"/>
      <c r="G17" s="44"/>
      <c r="H17" s="44"/>
    </row>
    <row r="18" spans="1:8" ht="16" customHeight="1" x14ac:dyDescent="0.35">
      <c r="A18" s="45" t="s">
        <v>14</v>
      </c>
      <c r="B18" s="44"/>
      <c r="C18" s="44"/>
      <c r="D18" s="44"/>
      <c r="E18" s="44"/>
      <c r="F18" s="44"/>
      <c r="G18" s="44"/>
      <c r="H18" s="44"/>
    </row>
    <row r="19" spans="1:8" ht="16" customHeight="1" x14ac:dyDescent="0.35">
      <c r="A19" s="45" t="s">
        <v>15</v>
      </c>
      <c r="B19" s="44"/>
      <c r="C19" s="44"/>
      <c r="D19" s="44"/>
      <c r="E19" s="44"/>
      <c r="F19" s="44"/>
      <c r="G19" s="44"/>
      <c r="H19" s="44"/>
    </row>
    <row r="20" spans="1:8" ht="16" customHeight="1" x14ac:dyDescent="0.35">
      <c r="A20" s="45" t="s">
        <v>16</v>
      </c>
      <c r="B20" s="44"/>
      <c r="C20" s="44"/>
      <c r="D20" s="44"/>
      <c r="E20" s="44"/>
      <c r="F20" s="44"/>
      <c r="G20" s="44"/>
      <c r="H20" s="44"/>
    </row>
    <row r="21" spans="1:8" ht="16" customHeight="1" x14ac:dyDescent="0.35">
      <c r="A21" s="45" t="s">
        <v>17</v>
      </c>
      <c r="B21" s="44"/>
      <c r="C21" s="44"/>
      <c r="D21" s="44"/>
      <c r="E21" s="44"/>
      <c r="F21" s="44"/>
      <c r="G21" s="44"/>
      <c r="H21" s="44"/>
    </row>
    <row r="22" spans="1:8" ht="16" customHeight="1" x14ac:dyDescent="0.35">
      <c r="A22" s="45" t="s">
        <v>18</v>
      </c>
      <c r="B22" s="44"/>
      <c r="C22" s="44"/>
      <c r="D22" s="44"/>
      <c r="E22" s="44"/>
      <c r="F22" s="44"/>
      <c r="G22" s="44"/>
      <c r="H22" s="44"/>
    </row>
    <row r="23" spans="1:8" ht="8" customHeight="1" x14ac:dyDescent="0.35">
      <c r="A23" s="45"/>
      <c r="B23" s="44"/>
      <c r="C23" s="44"/>
      <c r="D23" s="44"/>
      <c r="E23" s="44"/>
      <c r="F23" s="44"/>
      <c r="G23" s="44"/>
      <c r="H23" s="44"/>
    </row>
    <row r="24" spans="1:8" ht="20" customHeight="1" x14ac:dyDescent="0.35">
      <c r="A24" s="46" t="s">
        <v>19</v>
      </c>
      <c r="B24" s="44"/>
      <c r="C24" s="44"/>
      <c r="D24" s="44"/>
      <c r="E24" s="44"/>
      <c r="F24" s="44"/>
      <c r="G24" s="44"/>
      <c r="H24" s="44"/>
    </row>
    <row r="25" spans="1:8" ht="16" customHeight="1" x14ac:dyDescent="0.35">
      <c r="A25" s="45" t="s">
        <v>20</v>
      </c>
      <c r="B25" s="44"/>
      <c r="C25" s="44"/>
      <c r="D25" s="44"/>
      <c r="E25" s="44"/>
      <c r="F25" s="44"/>
      <c r="G25" s="44"/>
      <c r="H25" s="44"/>
    </row>
    <row r="26" spans="1:8" ht="16" customHeight="1" x14ac:dyDescent="0.35">
      <c r="A26" s="47" t="s">
        <v>21</v>
      </c>
      <c r="B26" s="44"/>
      <c r="C26" s="44"/>
      <c r="D26" s="44"/>
      <c r="E26" s="44"/>
      <c r="F26" s="44"/>
      <c r="G26" s="44"/>
      <c r="H26" s="44"/>
    </row>
    <row r="27" spans="1:8" ht="16" customHeight="1" x14ac:dyDescent="0.35">
      <c r="A27" s="45" t="s">
        <v>22</v>
      </c>
      <c r="B27" s="44"/>
      <c r="C27" s="44"/>
      <c r="D27" s="44"/>
      <c r="E27" s="44"/>
      <c r="F27" s="44"/>
      <c r="G27" s="44"/>
      <c r="H27" s="44"/>
    </row>
    <row r="28" spans="1:8" ht="15" customHeight="1" x14ac:dyDescent="0.35">
      <c r="A28" s="49" t="s">
        <v>23</v>
      </c>
      <c r="B28" s="44"/>
      <c r="C28" s="44"/>
      <c r="D28" s="44"/>
      <c r="E28" s="44"/>
      <c r="F28" s="44"/>
      <c r="G28" s="44"/>
      <c r="H28" s="44"/>
    </row>
    <row r="29" spans="1:8" ht="8" customHeight="1" x14ac:dyDescent="0.35">
      <c r="A29" s="45"/>
      <c r="B29" s="44"/>
      <c r="C29" s="44"/>
      <c r="D29" s="44"/>
      <c r="E29" s="44"/>
      <c r="F29" s="44"/>
      <c r="G29" s="44"/>
      <c r="H29" s="44"/>
    </row>
    <row r="30" spans="1:8" ht="20" customHeight="1" x14ac:dyDescent="0.35">
      <c r="A30" s="46" t="s">
        <v>24</v>
      </c>
      <c r="B30" s="44"/>
      <c r="C30" s="44"/>
      <c r="D30" s="44"/>
      <c r="E30" s="44"/>
      <c r="F30" s="44"/>
      <c r="G30" s="44"/>
      <c r="H30" s="44"/>
    </row>
    <row r="31" spans="1:8" ht="16" customHeight="1" x14ac:dyDescent="0.35">
      <c r="A31" s="45" t="s">
        <v>25</v>
      </c>
      <c r="B31" s="44"/>
      <c r="C31" s="44"/>
      <c r="D31" s="44"/>
      <c r="E31" s="44"/>
      <c r="F31" s="44"/>
      <c r="G31" s="44"/>
      <c r="H31" s="44"/>
    </row>
    <row r="32" spans="1:8" ht="16" customHeight="1" x14ac:dyDescent="0.35">
      <c r="A32" s="45" t="s">
        <v>26</v>
      </c>
      <c r="B32" s="44"/>
      <c r="C32" s="44"/>
      <c r="D32" s="44"/>
      <c r="E32" s="44"/>
      <c r="F32" s="44"/>
      <c r="G32" s="44"/>
      <c r="H32" s="44"/>
    </row>
    <row r="33" spans="1:8" ht="16" customHeight="1" x14ac:dyDescent="0.35">
      <c r="A33" s="45" t="s">
        <v>27</v>
      </c>
      <c r="B33" s="44"/>
      <c r="C33" s="44"/>
      <c r="D33" s="44"/>
      <c r="E33" s="44"/>
      <c r="F33" s="44"/>
      <c r="G33" s="44"/>
      <c r="H33" s="44"/>
    </row>
    <row r="34" spans="1:8" ht="8" customHeight="1" x14ac:dyDescent="0.35">
      <c r="A34" s="45"/>
      <c r="B34" s="44"/>
      <c r="C34" s="44"/>
      <c r="D34" s="44"/>
      <c r="E34" s="44"/>
      <c r="F34" s="44"/>
      <c r="G34" s="44"/>
      <c r="H34" s="44"/>
    </row>
    <row r="35" spans="1:8" ht="20" customHeight="1" x14ac:dyDescent="0.35">
      <c r="A35" s="46" t="s">
        <v>28</v>
      </c>
      <c r="B35" s="44"/>
      <c r="C35" s="44"/>
      <c r="D35" s="44"/>
      <c r="E35" s="44"/>
      <c r="F35" s="44"/>
      <c r="G35" s="44"/>
      <c r="H35" s="44"/>
    </row>
    <row r="36" spans="1:8" ht="16" customHeight="1" x14ac:dyDescent="0.35">
      <c r="A36" s="45" t="s">
        <v>29</v>
      </c>
      <c r="B36" s="44"/>
      <c r="C36" s="44"/>
      <c r="D36" s="44"/>
      <c r="E36" s="44"/>
      <c r="F36" s="44"/>
      <c r="G36" s="44"/>
      <c r="H36" s="44"/>
    </row>
    <row r="37" spans="1:8" ht="16" customHeight="1" x14ac:dyDescent="0.35">
      <c r="A37" s="48" t="s">
        <v>30</v>
      </c>
      <c r="B37" s="44"/>
      <c r="C37" s="44"/>
      <c r="D37" s="44"/>
      <c r="E37" s="44"/>
      <c r="F37" s="44"/>
      <c r="G37" s="44"/>
      <c r="H37" s="44"/>
    </row>
    <row r="38" spans="1:8" ht="15" customHeight="1" x14ac:dyDescent="0.35">
      <c r="A38" s="49" t="s">
        <v>31</v>
      </c>
      <c r="B38" s="44"/>
      <c r="C38" s="44"/>
      <c r="D38" s="44"/>
      <c r="E38" s="44"/>
      <c r="F38" s="44"/>
      <c r="G38" s="44"/>
      <c r="H38" s="44"/>
    </row>
    <row r="39" spans="1:8" ht="8" customHeight="1" x14ac:dyDescent="0.35">
      <c r="A39" s="45"/>
      <c r="B39" s="44"/>
      <c r="C39" s="44"/>
      <c r="D39" s="44"/>
      <c r="E39" s="44"/>
      <c r="F39" s="44"/>
      <c r="G39" s="44"/>
      <c r="H39" s="44"/>
    </row>
    <row r="40" spans="1:8" ht="20" customHeight="1" x14ac:dyDescent="0.35">
      <c r="A40" s="46" t="s">
        <v>32</v>
      </c>
      <c r="B40" s="44"/>
      <c r="C40" s="44"/>
      <c r="D40" s="44"/>
      <c r="E40" s="44"/>
      <c r="F40" s="44"/>
      <c r="G40" s="44"/>
      <c r="H40" s="44"/>
    </row>
    <row r="41" spans="1:8" ht="16" customHeight="1" x14ac:dyDescent="0.35">
      <c r="A41" s="45" t="s">
        <v>33</v>
      </c>
      <c r="B41" s="44"/>
      <c r="C41" s="44"/>
      <c r="D41" s="44"/>
      <c r="E41" s="44"/>
      <c r="F41" s="44"/>
      <c r="G41" s="44"/>
      <c r="H41" s="44"/>
    </row>
    <row r="42" spans="1:8" ht="16" customHeight="1" x14ac:dyDescent="0.35">
      <c r="A42" s="45" t="s">
        <v>34</v>
      </c>
      <c r="B42" s="44"/>
      <c r="C42" s="44"/>
      <c r="D42" s="44"/>
      <c r="E42" s="44"/>
      <c r="F42" s="44"/>
      <c r="G42" s="44"/>
      <c r="H42" s="44"/>
    </row>
    <row r="43" spans="1:8" ht="8" customHeight="1" x14ac:dyDescent="0.35">
      <c r="A43" s="45"/>
      <c r="B43" s="44"/>
      <c r="C43" s="44"/>
      <c r="D43" s="44"/>
      <c r="E43" s="44"/>
      <c r="F43" s="44"/>
      <c r="G43" s="44"/>
      <c r="H43" s="44"/>
    </row>
    <row r="44" spans="1:8" ht="20" customHeight="1" x14ac:dyDescent="0.35">
      <c r="A44" s="46" t="s">
        <v>35</v>
      </c>
      <c r="B44" s="44"/>
      <c r="C44" s="44"/>
      <c r="D44" s="44"/>
      <c r="E44" s="44"/>
      <c r="F44" s="44"/>
      <c r="G44" s="44"/>
      <c r="H44" s="44"/>
    </row>
    <row r="45" spans="1:8" ht="15" customHeight="1" x14ac:dyDescent="0.35">
      <c r="A45" s="49" t="s">
        <v>36</v>
      </c>
      <c r="B45" s="44"/>
      <c r="C45" s="44"/>
      <c r="D45" s="44"/>
      <c r="E45" s="44"/>
      <c r="F45" s="44"/>
      <c r="G45" s="44"/>
      <c r="H45" s="44"/>
    </row>
    <row r="46" spans="1:8" ht="15" customHeight="1" x14ac:dyDescent="0.35">
      <c r="A46" s="49" t="s">
        <v>37</v>
      </c>
      <c r="B46" s="44"/>
      <c r="C46" s="44"/>
      <c r="D46" s="44"/>
      <c r="E46" s="44"/>
      <c r="F46" s="44"/>
      <c r="G46" s="44"/>
      <c r="H46" s="44"/>
    </row>
    <row r="47" spans="1:8" ht="15" customHeight="1" x14ac:dyDescent="0.35">
      <c r="A47" s="49" t="s">
        <v>38</v>
      </c>
      <c r="B47" s="44"/>
      <c r="C47" s="44"/>
      <c r="D47" s="44"/>
      <c r="E47" s="44"/>
      <c r="F47" s="44"/>
      <c r="G47" s="44"/>
      <c r="H47" s="44"/>
    </row>
    <row r="48" spans="1:8" ht="15" customHeight="1" x14ac:dyDescent="0.35">
      <c r="A48" s="49" t="s">
        <v>39</v>
      </c>
      <c r="B48" s="44"/>
      <c r="C48" s="44"/>
      <c r="D48" s="44"/>
      <c r="E48" s="44"/>
      <c r="F48" s="44"/>
      <c r="G48" s="44"/>
      <c r="H48" s="44"/>
    </row>
    <row r="49" spans="1:8" ht="15" customHeight="1" x14ac:dyDescent="0.35">
      <c r="A49" s="49" t="s">
        <v>40</v>
      </c>
      <c r="B49" s="44"/>
      <c r="C49" s="44"/>
      <c r="D49" s="44"/>
      <c r="E49" s="44"/>
      <c r="F49" s="44"/>
      <c r="G49" s="44"/>
      <c r="H49" s="44"/>
    </row>
    <row r="50" spans="1:8" ht="15" customHeight="1" x14ac:dyDescent="0.35">
      <c r="A50" s="49" t="s">
        <v>41</v>
      </c>
      <c r="B50" s="44"/>
      <c r="C50" s="44"/>
      <c r="D50" s="44"/>
      <c r="E50" s="44"/>
      <c r="F50" s="44"/>
      <c r="G50" s="44"/>
      <c r="H50" s="44"/>
    </row>
  </sheetData>
  <mergeCells count="50">
    <mergeCell ref="A12:H12"/>
    <mergeCell ref="A18:H18"/>
    <mergeCell ref="A29:H29"/>
    <mergeCell ref="A35:H35"/>
    <mergeCell ref="A22:H22"/>
    <mergeCell ref="A38:H38"/>
    <mergeCell ref="A43:H43"/>
    <mergeCell ref="A28:H28"/>
    <mergeCell ref="A13:H13"/>
    <mergeCell ref="A47:H47"/>
    <mergeCell ref="A45:H45"/>
    <mergeCell ref="A50:H50"/>
    <mergeCell ref="A33:H33"/>
    <mergeCell ref="A14:H14"/>
    <mergeCell ref="A19:H19"/>
    <mergeCell ref="A40:H40"/>
    <mergeCell ref="A46:H46"/>
    <mergeCell ref="A39:H39"/>
    <mergeCell ref="A15:H15"/>
    <mergeCell ref="A24:H24"/>
    <mergeCell ref="A31:H31"/>
    <mergeCell ref="A34:H34"/>
    <mergeCell ref="A30:H30"/>
    <mergeCell ref="A44:H44"/>
    <mergeCell ref="A21:H21"/>
    <mergeCell ref="A49:H49"/>
    <mergeCell ref="A48:H48"/>
    <mergeCell ref="A17:H17"/>
    <mergeCell ref="A26:H26"/>
    <mergeCell ref="A2:H2"/>
    <mergeCell ref="A42:H42"/>
    <mergeCell ref="A23:H23"/>
    <mergeCell ref="A32:H32"/>
    <mergeCell ref="A25:H25"/>
    <mergeCell ref="A16:H16"/>
    <mergeCell ref="A41:H41"/>
    <mergeCell ref="A37:H37"/>
    <mergeCell ref="A27:H27"/>
    <mergeCell ref="A9:H9"/>
    <mergeCell ref="A10:H10"/>
    <mergeCell ref="A36:H36"/>
    <mergeCell ref="A11:H11"/>
    <mergeCell ref="A20:H20"/>
    <mergeCell ref="A1:H1"/>
    <mergeCell ref="A4:H4"/>
    <mergeCell ref="A3:H3"/>
    <mergeCell ref="A5:H5"/>
    <mergeCell ref="A8:H8"/>
    <mergeCell ref="A6:H6"/>
    <mergeCell ref="A7:H7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2E75B6"/>
  </sheetPr>
  <dimension ref="A1:E30"/>
  <sheetViews>
    <sheetView showGridLines="0" workbookViewId="0">
      <selection sqref="A1:E1"/>
    </sheetView>
  </sheetViews>
  <sheetFormatPr defaultColWidth="8.7265625" defaultRowHeight="14.5" x14ac:dyDescent="0.35"/>
  <cols>
    <col min="1" max="1" width="5" customWidth="1"/>
    <col min="2" max="2" width="32" customWidth="1"/>
    <col min="3" max="3" width="42" customWidth="1"/>
    <col min="4" max="4" width="20" customWidth="1"/>
    <col min="5" max="5" width="24" customWidth="1"/>
  </cols>
  <sheetData>
    <row r="1" spans="1:5" ht="31.5" customHeight="1" x14ac:dyDescent="0.35">
      <c r="A1" s="51" t="s">
        <v>42</v>
      </c>
      <c r="B1" s="44"/>
      <c r="C1" s="44"/>
      <c r="D1" s="44"/>
      <c r="E1" s="44"/>
    </row>
    <row r="2" spans="1:5" ht="21.75" customHeight="1" x14ac:dyDescent="0.35">
      <c r="A2" s="1" t="s">
        <v>43</v>
      </c>
      <c r="B2" s="1" t="s">
        <v>44</v>
      </c>
      <c r="C2" s="1" t="s">
        <v>45</v>
      </c>
      <c r="D2" s="1" t="s">
        <v>46</v>
      </c>
      <c r="E2" s="1" t="s">
        <v>47</v>
      </c>
    </row>
    <row r="3" spans="1:5" ht="18" customHeight="1" x14ac:dyDescent="0.35">
      <c r="A3" s="2">
        <v>1</v>
      </c>
      <c r="B3" s="3" t="s">
        <v>48</v>
      </c>
      <c r="C3" s="4" t="s">
        <v>49</v>
      </c>
      <c r="D3" s="3" t="s">
        <v>50</v>
      </c>
      <c r="E3" s="3"/>
    </row>
    <row r="4" spans="1:5" ht="18" customHeight="1" x14ac:dyDescent="0.35">
      <c r="A4" s="5">
        <v>2</v>
      </c>
      <c r="B4" s="6" t="s">
        <v>51</v>
      </c>
      <c r="C4" s="7" t="s">
        <v>52</v>
      </c>
      <c r="D4" s="6" t="s">
        <v>53</v>
      </c>
      <c r="E4" s="6"/>
    </row>
    <row r="5" spans="1:5" ht="18" customHeight="1" x14ac:dyDescent="0.35">
      <c r="A5" s="2">
        <v>3</v>
      </c>
      <c r="B5" s="3" t="s">
        <v>54</v>
      </c>
      <c r="C5" s="4" t="s">
        <v>52</v>
      </c>
      <c r="D5" s="3" t="s">
        <v>55</v>
      </c>
      <c r="E5" s="3"/>
    </row>
    <row r="6" spans="1:5" ht="18" customHeight="1" x14ac:dyDescent="0.35">
      <c r="A6" s="5">
        <v>4</v>
      </c>
      <c r="B6" s="6" t="s">
        <v>56</v>
      </c>
      <c r="C6" s="7" t="s">
        <v>52</v>
      </c>
      <c r="D6" s="6" t="s">
        <v>57</v>
      </c>
      <c r="E6" s="6"/>
    </row>
    <row r="7" spans="1:5" ht="18" customHeight="1" x14ac:dyDescent="0.35">
      <c r="A7" s="2">
        <v>5</v>
      </c>
      <c r="B7" s="3" t="s">
        <v>58</v>
      </c>
      <c r="C7" s="4" t="s">
        <v>59</v>
      </c>
      <c r="D7" s="3" t="s">
        <v>60</v>
      </c>
      <c r="E7" s="3"/>
    </row>
    <row r="8" spans="1:5" ht="18" customHeight="1" x14ac:dyDescent="0.35">
      <c r="A8" s="5">
        <v>6</v>
      </c>
      <c r="B8" s="6" t="s">
        <v>61</v>
      </c>
      <c r="C8" s="7" t="s">
        <v>52</v>
      </c>
      <c r="D8" s="6" t="s">
        <v>62</v>
      </c>
      <c r="E8" s="6"/>
    </row>
    <row r="9" spans="1:5" ht="18" customHeight="1" x14ac:dyDescent="0.35">
      <c r="A9" s="2">
        <v>7</v>
      </c>
      <c r="B9" s="3" t="s">
        <v>63</v>
      </c>
      <c r="C9" s="4" t="s">
        <v>52</v>
      </c>
      <c r="D9" s="3"/>
      <c r="E9" s="3"/>
    </row>
    <row r="10" spans="1:5" ht="18" customHeight="1" x14ac:dyDescent="0.35">
      <c r="A10" s="5">
        <v>8</v>
      </c>
      <c r="B10" s="6" t="s">
        <v>64</v>
      </c>
      <c r="C10" s="7" t="s">
        <v>52</v>
      </c>
      <c r="D10" s="6"/>
      <c r="E10" s="6"/>
    </row>
    <row r="11" spans="1:5" ht="18" customHeight="1" x14ac:dyDescent="0.35">
      <c r="A11" s="2">
        <v>9</v>
      </c>
      <c r="B11" s="3" t="s">
        <v>65</v>
      </c>
      <c r="C11" s="4" t="s">
        <v>52</v>
      </c>
      <c r="D11" s="3"/>
      <c r="E11" s="3"/>
    </row>
    <row r="12" spans="1:5" ht="18" customHeight="1" x14ac:dyDescent="0.35">
      <c r="A12" s="5">
        <v>10</v>
      </c>
      <c r="B12" s="6" t="s">
        <v>66</v>
      </c>
      <c r="C12" s="7" t="s">
        <v>52</v>
      </c>
      <c r="D12" s="6"/>
      <c r="E12" s="6"/>
    </row>
    <row r="13" spans="1:5" ht="18" customHeight="1" x14ac:dyDescent="0.35">
      <c r="A13" s="2">
        <v>11</v>
      </c>
      <c r="B13" s="3" t="s">
        <v>67</v>
      </c>
      <c r="C13" s="4" t="s">
        <v>52</v>
      </c>
      <c r="D13" s="3"/>
      <c r="E13" s="3"/>
    </row>
    <row r="14" spans="1:5" ht="18" customHeight="1" x14ac:dyDescent="0.35">
      <c r="A14" s="5">
        <v>12</v>
      </c>
      <c r="B14" s="6" t="s">
        <v>68</v>
      </c>
      <c r="C14" s="7" t="s">
        <v>52</v>
      </c>
      <c r="D14" s="6"/>
      <c r="E14" s="6"/>
    </row>
    <row r="15" spans="1:5" ht="18" customHeight="1" x14ac:dyDescent="0.35">
      <c r="A15" s="2">
        <v>13</v>
      </c>
      <c r="B15" s="3" t="s">
        <v>69</v>
      </c>
      <c r="C15" s="4" t="s">
        <v>52</v>
      </c>
      <c r="D15" s="3" t="s">
        <v>70</v>
      </c>
      <c r="E15" s="3"/>
    </row>
    <row r="16" spans="1:5" ht="18" customHeight="1" x14ac:dyDescent="0.35">
      <c r="A16" s="5">
        <v>14</v>
      </c>
      <c r="B16" s="6" t="s">
        <v>71</v>
      </c>
      <c r="C16" s="7" t="s">
        <v>52</v>
      </c>
      <c r="D16" s="6"/>
      <c r="E16" s="6"/>
    </row>
    <row r="17" spans="1:5" ht="18" customHeight="1" x14ac:dyDescent="0.35">
      <c r="A17" s="2">
        <v>15</v>
      </c>
      <c r="B17" s="3" t="s">
        <v>72</v>
      </c>
      <c r="C17" s="4" t="s">
        <v>73</v>
      </c>
      <c r="D17" s="3"/>
      <c r="E17" s="3"/>
    </row>
    <row r="18" spans="1:5" ht="18" customHeight="1" x14ac:dyDescent="0.35">
      <c r="A18" s="5">
        <v>16</v>
      </c>
      <c r="B18" s="6" t="s">
        <v>74</v>
      </c>
      <c r="C18" s="7" t="s">
        <v>75</v>
      </c>
      <c r="D18" s="6" t="s">
        <v>76</v>
      </c>
      <c r="E18" s="6"/>
    </row>
    <row r="19" spans="1:5" ht="18" customHeight="1" x14ac:dyDescent="0.35">
      <c r="A19" s="2">
        <v>17</v>
      </c>
      <c r="B19" s="3" t="s">
        <v>77</v>
      </c>
      <c r="C19" s="4" t="s">
        <v>78</v>
      </c>
      <c r="D19" s="3" t="s">
        <v>79</v>
      </c>
      <c r="E19" s="3"/>
    </row>
    <row r="20" spans="1:5" ht="18" customHeight="1" x14ac:dyDescent="0.35">
      <c r="A20" s="5">
        <v>18</v>
      </c>
      <c r="B20" s="6" t="s">
        <v>80</v>
      </c>
      <c r="C20" s="7" t="s">
        <v>52</v>
      </c>
      <c r="D20" s="6" t="s">
        <v>81</v>
      </c>
      <c r="E20" s="6"/>
    </row>
    <row r="21" spans="1:5" ht="18" customHeight="1" x14ac:dyDescent="0.35">
      <c r="A21" s="2">
        <v>19</v>
      </c>
      <c r="B21" s="3" t="s">
        <v>82</v>
      </c>
      <c r="C21" s="4" t="s">
        <v>83</v>
      </c>
      <c r="D21" s="3" t="s">
        <v>84</v>
      </c>
      <c r="E21" s="3"/>
    </row>
    <row r="22" spans="1:5" ht="18" customHeight="1" x14ac:dyDescent="0.35">
      <c r="A22" s="5">
        <v>20</v>
      </c>
      <c r="B22" s="6" t="s">
        <v>85</v>
      </c>
      <c r="C22" s="7" t="s">
        <v>86</v>
      </c>
      <c r="D22" s="6" t="s">
        <v>87</v>
      </c>
      <c r="E22" s="6"/>
    </row>
    <row r="23" spans="1:5" ht="18" customHeight="1" x14ac:dyDescent="0.35">
      <c r="A23" s="2">
        <v>21</v>
      </c>
      <c r="B23" s="3" t="s">
        <v>88</v>
      </c>
      <c r="C23" s="4" t="s">
        <v>89</v>
      </c>
      <c r="D23" s="3"/>
      <c r="E23" s="3"/>
    </row>
    <row r="24" spans="1:5" ht="18" customHeight="1" x14ac:dyDescent="0.35">
      <c r="A24" s="5">
        <v>22</v>
      </c>
      <c r="B24" s="6" t="s">
        <v>90</v>
      </c>
      <c r="C24" s="7" t="s">
        <v>91</v>
      </c>
      <c r="D24" s="6"/>
      <c r="E24" s="6"/>
    </row>
    <row r="25" spans="1:5" ht="18" customHeight="1" x14ac:dyDescent="0.35">
      <c r="A25" s="2">
        <v>23</v>
      </c>
      <c r="B25" s="3" t="s">
        <v>92</v>
      </c>
      <c r="C25" s="4" t="s">
        <v>93</v>
      </c>
      <c r="D25" s="3"/>
      <c r="E25" s="3"/>
    </row>
    <row r="26" spans="1:5" ht="18" customHeight="1" x14ac:dyDescent="0.35">
      <c r="A26" s="5">
        <v>24</v>
      </c>
      <c r="B26" s="6" t="s">
        <v>94</v>
      </c>
      <c r="C26" s="7" t="s">
        <v>52</v>
      </c>
      <c r="D26" s="6" t="s">
        <v>95</v>
      </c>
      <c r="E26" s="6"/>
    </row>
    <row r="27" spans="1:5" ht="18" customHeight="1" x14ac:dyDescent="0.35">
      <c r="A27" s="2">
        <v>25</v>
      </c>
      <c r="B27" s="3" t="s">
        <v>96</v>
      </c>
      <c r="C27" s="4" t="s">
        <v>97</v>
      </c>
      <c r="D27" s="3"/>
      <c r="E27" s="3"/>
    </row>
    <row r="28" spans="1:5" ht="18" customHeight="1" x14ac:dyDescent="0.35">
      <c r="A28" s="5">
        <v>26</v>
      </c>
      <c r="B28" s="6" t="s">
        <v>98</v>
      </c>
      <c r="C28" s="7" t="s">
        <v>99</v>
      </c>
      <c r="D28" s="6"/>
      <c r="E28" s="6"/>
    </row>
    <row r="30" spans="1:5" x14ac:dyDescent="0.35">
      <c r="A30" s="50" t="s">
        <v>100</v>
      </c>
      <c r="B30" s="44"/>
      <c r="C30" s="44"/>
      <c r="D30" s="44"/>
      <c r="E30" s="44"/>
    </row>
  </sheetData>
  <mergeCells count="2">
    <mergeCell ref="A30:E30"/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"/>
  <sheetViews>
    <sheetView workbookViewId="0"/>
  </sheetViews>
  <sheetFormatPr defaultColWidth="8.7265625" defaultRowHeight="14.5" x14ac:dyDescent="0.35"/>
  <sheetData>
    <row r="1" spans="1:2" x14ac:dyDescent="0.35">
      <c r="A1" s="8" t="s">
        <v>101</v>
      </c>
      <c r="B1">
        <v>10</v>
      </c>
    </row>
    <row r="2" spans="1:2" x14ac:dyDescent="0.35">
      <c r="A2" s="8" t="s">
        <v>102</v>
      </c>
      <c r="B2">
        <v>2025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1F3864"/>
    <pageSetUpPr fitToPage="1"/>
  </sheetPr>
  <dimension ref="A1:G39"/>
  <sheetViews>
    <sheetView showGridLines="0" topLeftCell="A25" zoomScale="92" workbookViewId="0">
      <selection activeCell="B12" sqref="B12"/>
    </sheetView>
  </sheetViews>
  <sheetFormatPr defaultColWidth="8.7265625" defaultRowHeight="14.5" x14ac:dyDescent="0.35"/>
  <cols>
    <col min="1" max="1" width="10.81640625" bestFit="1" customWidth="1"/>
    <col min="2" max="2" width="30" customWidth="1"/>
    <col min="3" max="3" width="28" customWidth="1"/>
    <col min="4" max="4" width="10" customWidth="1"/>
    <col min="5" max="5" width="14" customWidth="1"/>
    <col min="6" max="6" width="9.453125" customWidth="1"/>
    <col min="7" max="7" width="14.08984375" bestFit="1" customWidth="1"/>
  </cols>
  <sheetData>
    <row r="1" spans="1:7" ht="19.5" customHeight="1" x14ac:dyDescent="0.35"/>
    <row r="2" spans="1:7" ht="37.5" customHeight="1" x14ac:dyDescent="0.35">
      <c r="A2" s="72" t="s">
        <v>103</v>
      </c>
      <c r="B2" s="72"/>
      <c r="C2" s="72"/>
      <c r="D2" s="72"/>
      <c r="E2" s="72"/>
      <c r="F2" s="72"/>
      <c r="G2" s="72"/>
    </row>
    <row r="3" spans="1:7" ht="18" customHeight="1" x14ac:dyDescent="0.35">
      <c r="A3" s="71" t="s">
        <v>104</v>
      </c>
      <c r="B3" s="71"/>
      <c r="C3" s="71"/>
      <c r="D3" s="71"/>
      <c r="E3" s="71"/>
      <c r="F3" s="71"/>
      <c r="G3" s="71"/>
    </row>
    <row r="4" spans="1:7" ht="15.75" customHeight="1" x14ac:dyDescent="0.35">
      <c r="A4" s="74" t="s">
        <v>105</v>
      </c>
      <c r="B4" s="74"/>
      <c r="C4" s="74"/>
      <c r="D4" s="74"/>
      <c r="E4" s="74"/>
      <c r="F4" s="74"/>
      <c r="G4" s="74"/>
    </row>
    <row r="6" spans="1:7" ht="21.75" customHeight="1" x14ac:dyDescent="0.35">
      <c r="A6" s="22" t="s">
        <v>106</v>
      </c>
      <c r="B6" s="77" t="str">
        <f>IFERROR("INV-"&amp;TEXT(_INVOICE_COUNTER!B1+1,"0000")&amp;"/"&amp;_INVOICE_COUNTER!B2+1&amp;"-"&amp;(_INVOICE_COUNTER!B2+2),"INV-0001")</f>
        <v>INV-0011/2026-2027</v>
      </c>
      <c r="C6" s="61"/>
      <c r="D6" s="22" t="s">
        <v>107</v>
      </c>
      <c r="E6" s="75">
        <f ca="1">TODAY()</f>
        <v>46122</v>
      </c>
      <c r="F6" s="61"/>
      <c r="G6" s="22" t="str">
        <f>IFERROR("FY "&amp;_INVOICE_COUNTER!B2+1&amp;"-"&amp;(_INVOICE_COUNTER!B2+2),"FY 2026-27")</f>
        <v>FY 2026-2027</v>
      </c>
    </row>
    <row r="7" spans="1:7" ht="21.75" customHeight="1" x14ac:dyDescent="0.35">
      <c r="A7" s="23" t="s">
        <v>108</v>
      </c>
      <c r="B7" s="76" t="s">
        <v>48</v>
      </c>
      <c r="C7" s="61"/>
      <c r="D7" s="61"/>
      <c r="E7" s="61"/>
      <c r="F7" s="61"/>
      <c r="G7" s="61"/>
    </row>
    <row r="8" spans="1:7" ht="24" customHeight="1" x14ac:dyDescent="0.35">
      <c r="A8" s="23" t="s">
        <v>109</v>
      </c>
      <c r="B8" s="78" t="str">
        <f>IFERROR(VLOOKUP(B7,'CUSTOMER REGISTER'!B:C,2,0),"")</f>
        <v>Industrial Area, Banthar</v>
      </c>
      <c r="C8" s="61"/>
      <c r="D8" s="61"/>
      <c r="E8" s="61"/>
      <c r="F8" s="23" t="s">
        <v>110</v>
      </c>
      <c r="G8" s="24" t="str">
        <f>IFERROR(VLOOKUP(B7,'CUSTOMER REGISTER'!B:D,3,0),"")</f>
        <v>6306805026</v>
      </c>
    </row>
    <row r="10" spans="1:7" ht="30" customHeight="1" x14ac:dyDescent="0.35">
      <c r="A10" s="25" t="s">
        <v>43</v>
      </c>
      <c r="B10" s="25" t="s">
        <v>111</v>
      </c>
      <c r="C10" s="25" t="s">
        <v>112</v>
      </c>
      <c r="D10" s="25" t="s">
        <v>113</v>
      </c>
      <c r="E10" s="25" t="s">
        <v>114</v>
      </c>
      <c r="F10" s="54" t="s">
        <v>115</v>
      </c>
      <c r="G10" s="55"/>
    </row>
    <row r="11" spans="1:7" ht="18" customHeight="1" x14ac:dyDescent="0.35">
      <c r="A11" s="26">
        <v>1</v>
      </c>
      <c r="B11" s="39" t="s">
        <v>134</v>
      </c>
      <c r="C11" s="40" t="s">
        <v>135</v>
      </c>
      <c r="D11" s="28">
        <v>100</v>
      </c>
      <c r="E11" s="28">
        <v>15</v>
      </c>
      <c r="F11" s="52">
        <f t="shared" ref="F11:F30" si="0">IFERROR(IF(D11*E11=0,"",D11*E11),"")</f>
        <v>1500</v>
      </c>
      <c r="G11" s="53"/>
    </row>
    <row r="12" spans="1:7" ht="18" customHeight="1" x14ac:dyDescent="0.35">
      <c r="A12" s="29"/>
      <c r="B12" s="30"/>
      <c r="C12" s="31"/>
      <c r="D12" s="32"/>
      <c r="E12" s="32"/>
      <c r="F12" s="56" t="str">
        <f t="shared" si="0"/>
        <v/>
      </c>
      <c r="G12" s="57"/>
    </row>
    <row r="13" spans="1:7" ht="18" customHeight="1" x14ac:dyDescent="0.35">
      <c r="A13" s="26"/>
      <c r="B13" s="27"/>
      <c r="C13" s="27"/>
      <c r="D13" s="33"/>
      <c r="E13" s="33"/>
      <c r="F13" s="52" t="str">
        <f t="shared" si="0"/>
        <v/>
      </c>
      <c r="G13" s="53"/>
    </row>
    <row r="14" spans="1:7" ht="18" customHeight="1" x14ac:dyDescent="0.35">
      <c r="A14" s="29"/>
      <c r="B14" s="31"/>
      <c r="C14" s="31"/>
      <c r="D14" s="32"/>
      <c r="E14" s="32"/>
      <c r="F14" s="56" t="str">
        <f t="shared" si="0"/>
        <v/>
      </c>
      <c r="G14" s="57"/>
    </row>
    <row r="15" spans="1:7" ht="18" customHeight="1" x14ac:dyDescent="0.35">
      <c r="A15" s="26"/>
      <c r="B15" s="27"/>
      <c r="C15" s="27"/>
      <c r="D15" s="33"/>
      <c r="E15" s="33"/>
      <c r="F15" s="52" t="str">
        <f t="shared" si="0"/>
        <v/>
      </c>
      <c r="G15" s="53"/>
    </row>
    <row r="16" spans="1:7" ht="18" customHeight="1" x14ac:dyDescent="0.35">
      <c r="A16" s="29"/>
      <c r="B16" s="31"/>
      <c r="C16" s="31"/>
      <c r="D16" s="32"/>
      <c r="E16" s="32"/>
      <c r="F16" s="56" t="str">
        <f t="shared" si="0"/>
        <v/>
      </c>
      <c r="G16" s="57"/>
    </row>
    <row r="17" spans="1:7" ht="18" customHeight="1" x14ac:dyDescent="0.35">
      <c r="A17" s="26"/>
      <c r="B17" s="27"/>
      <c r="C17" s="27"/>
      <c r="D17" s="33"/>
      <c r="E17" s="33"/>
      <c r="F17" s="52" t="str">
        <f t="shared" si="0"/>
        <v/>
      </c>
      <c r="G17" s="53"/>
    </row>
    <row r="18" spans="1:7" ht="18" customHeight="1" x14ac:dyDescent="0.35">
      <c r="A18" s="29"/>
      <c r="B18" s="31"/>
      <c r="C18" s="31"/>
      <c r="D18" s="32"/>
      <c r="E18" s="32"/>
      <c r="F18" s="56" t="str">
        <f t="shared" si="0"/>
        <v/>
      </c>
      <c r="G18" s="57"/>
    </row>
    <row r="19" spans="1:7" ht="18" customHeight="1" x14ac:dyDescent="0.35">
      <c r="A19" s="26"/>
      <c r="B19" s="27"/>
      <c r="C19" s="27"/>
      <c r="D19" s="33"/>
      <c r="E19" s="33"/>
      <c r="F19" s="52" t="str">
        <f t="shared" si="0"/>
        <v/>
      </c>
      <c r="G19" s="53"/>
    </row>
    <row r="20" spans="1:7" ht="18" customHeight="1" x14ac:dyDescent="0.35">
      <c r="A20" s="29"/>
      <c r="B20" s="31"/>
      <c r="C20" s="31"/>
      <c r="D20" s="32"/>
      <c r="E20" s="32"/>
      <c r="F20" s="56" t="str">
        <f t="shared" si="0"/>
        <v/>
      </c>
      <c r="G20" s="57"/>
    </row>
    <row r="21" spans="1:7" ht="18" customHeight="1" x14ac:dyDescent="0.35">
      <c r="A21" s="26"/>
      <c r="B21" s="27"/>
      <c r="C21" s="27"/>
      <c r="D21" s="33"/>
      <c r="E21" s="33"/>
      <c r="F21" s="52" t="str">
        <f t="shared" si="0"/>
        <v/>
      </c>
      <c r="G21" s="53"/>
    </row>
    <row r="22" spans="1:7" ht="18" customHeight="1" x14ac:dyDescent="0.35">
      <c r="A22" s="29"/>
      <c r="B22" s="31"/>
      <c r="C22" s="31"/>
      <c r="D22" s="32"/>
      <c r="E22" s="32"/>
      <c r="F22" s="56" t="str">
        <f t="shared" si="0"/>
        <v/>
      </c>
      <c r="G22" s="57"/>
    </row>
    <row r="23" spans="1:7" ht="18" customHeight="1" x14ac:dyDescent="0.35">
      <c r="A23" s="26"/>
      <c r="B23" s="27"/>
      <c r="C23" s="27"/>
      <c r="D23" s="33"/>
      <c r="E23" s="33"/>
      <c r="F23" s="52" t="str">
        <f t="shared" si="0"/>
        <v/>
      </c>
      <c r="G23" s="53"/>
    </row>
    <row r="24" spans="1:7" ht="18" customHeight="1" x14ac:dyDescent="0.35">
      <c r="A24" s="29"/>
      <c r="B24" s="31"/>
      <c r="C24" s="31"/>
      <c r="D24" s="32"/>
      <c r="E24" s="32"/>
      <c r="F24" s="56" t="str">
        <f t="shared" si="0"/>
        <v/>
      </c>
      <c r="G24" s="57"/>
    </row>
    <row r="25" spans="1:7" ht="18" customHeight="1" x14ac:dyDescent="0.35">
      <c r="A25" s="26"/>
      <c r="B25" s="27"/>
      <c r="C25" s="27"/>
      <c r="D25" s="33"/>
      <c r="E25" s="33"/>
      <c r="F25" s="52" t="str">
        <f t="shared" si="0"/>
        <v/>
      </c>
      <c r="G25" s="53"/>
    </row>
    <row r="26" spans="1:7" ht="18" customHeight="1" x14ac:dyDescent="0.35">
      <c r="A26" s="29"/>
      <c r="B26" s="31"/>
      <c r="C26" s="31"/>
      <c r="D26" s="32"/>
      <c r="E26" s="32"/>
      <c r="F26" s="56" t="str">
        <f t="shared" si="0"/>
        <v/>
      </c>
      <c r="G26" s="57"/>
    </row>
    <row r="27" spans="1:7" ht="18" customHeight="1" x14ac:dyDescent="0.35">
      <c r="A27" s="26"/>
      <c r="B27" s="27"/>
      <c r="C27" s="27"/>
      <c r="D27" s="33"/>
      <c r="E27" s="33"/>
      <c r="F27" s="52" t="str">
        <f t="shared" si="0"/>
        <v/>
      </c>
      <c r="G27" s="53"/>
    </row>
    <row r="28" spans="1:7" ht="18" customHeight="1" x14ac:dyDescent="0.35">
      <c r="A28" s="29"/>
      <c r="B28" s="31"/>
      <c r="C28" s="31"/>
      <c r="D28" s="32"/>
      <c r="E28" s="32"/>
      <c r="F28" s="56" t="str">
        <f t="shared" si="0"/>
        <v/>
      </c>
      <c r="G28" s="57"/>
    </row>
    <row r="29" spans="1:7" ht="18" customHeight="1" x14ac:dyDescent="0.35">
      <c r="A29" s="26"/>
      <c r="B29" s="27"/>
      <c r="C29" s="27"/>
      <c r="D29" s="33"/>
      <c r="E29" s="33"/>
      <c r="F29" s="52" t="str">
        <f t="shared" si="0"/>
        <v/>
      </c>
      <c r="G29" s="53"/>
    </row>
    <row r="30" spans="1:7" ht="18" customHeight="1" x14ac:dyDescent="0.35">
      <c r="A30" s="29"/>
      <c r="B30" s="31"/>
      <c r="C30" s="31"/>
      <c r="D30" s="32"/>
      <c r="E30" s="32"/>
      <c r="F30" s="56" t="str">
        <f t="shared" si="0"/>
        <v/>
      </c>
      <c r="G30" s="57"/>
    </row>
    <row r="31" spans="1:7" ht="19.5" customHeight="1" x14ac:dyDescent="0.35">
      <c r="A31" s="69" t="s">
        <v>116</v>
      </c>
      <c r="B31" s="63"/>
      <c r="C31" s="63"/>
      <c r="D31" s="63"/>
      <c r="E31" s="63"/>
      <c r="F31" s="62">
        <f>IFERROR(SUM(F11:F30),0)</f>
        <v>1500</v>
      </c>
      <c r="G31" s="63"/>
    </row>
    <row r="32" spans="1:7" ht="19.5" customHeight="1" x14ac:dyDescent="0.35">
      <c r="A32" s="70" t="s">
        <v>117</v>
      </c>
      <c r="B32" s="65"/>
      <c r="C32" s="65"/>
      <c r="D32" s="65"/>
      <c r="E32" s="65"/>
      <c r="F32" s="64"/>
      <c r="G32" s="65"/>
    </row>
    <row r="33" spans="1:7" ht="24" customHeight="1" x14ac:dyDescent="0.35">
      <c r="A33" s="69" t="s">
        <v>118</v>
      </c>
      <c r="B33" s="63"/>
      <c r="C33" s="63"/>
      <c r="D33" s="63"/>
      <c r="E33" s="63"/>
      <c r="F33" s="62">
        <f>F31+IF(F32="",0,F32)</f>
        <v>1500</v>
      </c>
      <c r="G33" s="63"/>
    </row>
    <row r="34" spans="1:7" x14ac:dyDescent="0.35">
      <c r="A34" s="60" t="str">
        <f>IFERROR("Amount: ₹"&amp;TEXT(F33,"##,##,##0.00")&amp;" ("&amp;IF(INT(F33/10000000)&gt;0,CHOOSE(INT(F33/10000000),"One","Two","Three","Four","Five","Six","Seven","Eight","Nine")&amp;" Crore ","")&amp;IF(INT(MOD(F33,10000000)/100000)&gt;0,CHOOSE(INT(MOD(F33,10000000)/100000),"One","Two","Three","Four","Five","Six","Seven","Eight","Nine")&amp;" Lakh ","")&amp;IF(INT(MOD(F33,100000)/1000)&gt;0,IF(INT(MOD(F33,100000)/1000)&lt;10,CHOOSE(INT(MOD(F33,100000)/1000),"One","Two","Three","Four","Five","Six","Seven","Eight","Nine"),IF(INT(MOD(F33,100000)/1000)&lt;20,CHOOSE(INT(MOD(F33,100000)/1000)-9,"Ten","Eleven","Twelve","Thirteen","Fourteen","Fifteen","Sixteen","Seventeen","Eighteen","Nineteen"),CHOOSE(INT(INT(MOD(F33,100000)/1000)/10),"","Twenty","Thirty","Forty","Fifty","Sixty","Seventy","Eighty","Ninety")&amp;IF(MOD(INT(MOD(F33,100000)/1000),10)&gt;0," "&amp;CHOOSE(MOD(INT(MOD(F33,100000)/1000),10),"One","Two","Three","Four","Five","Six","Seven","Eight","Nine"),"")))&amp;" Thousand ","")&amp;IF(INT(MOD(F33,1000)/100)&gt;0,CHOOSE(INT(MOD(F33,1000)/100),"One","Two","Three","Four","Five","Six","Seven","Eight","Nine")&amp;" Hundred ","")&amp;IF(INT(MOD(F33,100))&gt;0,IF(INT(MOD(F33,100))&lt;10,CHOOSE(INT(MOD(F33,100)),"One","Two","Three","Four","Five","Six","Seven","Eight","Nine"),IF(INT(MOD(F33,100))&lt;20,CHOOSE(INT(MOD(F33,100))-9,"Ten","Eleven","Twelve","Thirteen","Fourteen","Fifteen","Sixteen","Seventeen","Eighteen","Nineteen"),CHOOSE(INT(INT(MOD(F33,100))/10),"","Twenty","Thirty","Forty","Fifty","Sixty","Seventy","Eighty","Ninety")&amp;IF(MOD(INT(MOD(F33,100)),10)&gt;0," "&amp;CHOOSE(MOD(INT(MOD(F33,100)),10),"One","Two","Three","Four","Five","Six","Seven","Eight","Nine"),""))),"")&amp;" Rupees"&amp;IF(ROUND(MOD(F33,1)*100,0)&gt;0," and "&amp;IF(ROUND(MOD(F33,1)*100,0)&lt;10,CHOOSE(ROUND(MOD(F33,1)*100,0),"One","Two","Three","Four","Five","Six","Seven","Eight","Nine"),IF(ROUND(MOD(F33,1)*100,0)&lt;20,CHOOSE(ROUND(MOD(F33,1)*100,0)-9,"Ten","Eleven","Twelve","Thirteen","Fourteen","Fifteen","Sixteen","Seventeen","Eighteen","Nineteen"),CHOOSE(INT(ROUND(MOD(F33,1)*100,0)/10),"","Twenty","Thirty","Forty","Fifty","Sixty","Seventy","Eighty","Ninety")&amp;IF(MOD(ROUND(MOD(F33,1)*100,0),10)&gt;0," "&amp;CHOOSE(MOD(ROUND(MOD(F33,1)*100,0),10),"One","Two","Three","Four","Five","Six","Seven","Eight","Nine"),"")))&amp;" Paise","")&amp;" Only)","—")</f>
        <v>Amount: ₹1,500.00 (One Thousand Five Hundred  Rupees Only)</v>
      </c>
      <c r="B34" s="61"/>
      <c r="C34" s="61"/>
      <c r="D34" s="61"/>
      <c r="E34" s="61"/>
      <c r="F34" s="61"/>
      <c r="G34" s="61"/>
    </row>
    <row r="36" spans="1:7" ht="18" customHeight="1" x14ac:dyDescent="0.35">
      <c r="A36" s="66" t="s">
        <v>119</v>
      </c>
      <c r="B36" s="67"/>
      <c r="C36" s="67"/>
      <c r="D36" s="67"/>
      <c r="E36" s="73" t="s">
        <v>120</v>
      </c>
      <c r="F36" s="67"/>
      <c r="G36" s="67"/>
    </row>
    <row r="37" spans="1:7" ht="18" customHeight="1" x14ac:dyDescent="0.35">
      <c r="A37" s="68"/>
      <c r="B37" s="44"/>
      <c r="C37" s="44"/>
      <c r="D37" s="44"/>
      <c r="E37" s="68"/>
      <c r="F37" s="44"/>
      <c r="G37" s="44"/>
    </row>
    <row r="38" spans="1:7" ht="18" customHeight="1" x14ac:dyDescent="0.35">
      <c r="A38" s="68"/>
      <c r="B38" s="44"/>
      <c r="C38" s="44"/>
      <c r="D38" s="44"/>
      <c r="E38" s="68"/>
      <c r="F38" s="44"/>
      <c r="G38" s="44"/>
    </row>
    <row r="39" spans="1:7" ht="36" hidden="1" customHeight="1" x14ac:dyDescent="0.35">
      <c r="A39" s="58"/>
      <c r="B39" s="44"/>
      <c r="C39" s="44"/>
      <c r="D39" s="44"/>
      <c r="E39" s="59"/>
      <c r="F39" s="44"/>
      <c r="G39" s="44"/>
    </row>
  </sheetData>
  <mergeCells count="38">
    <mergeCell ref="A3:G3"/>
    <mergeCell ref="A2:G2"/>
    <mergeCell ref="F14:G14"/>
    <mergeCell ref="A31:E31"/>
    <mergeCell ref="E36:G38"/>
    <mergeCell ref="A4:G4"/>
    <mergeCell ref="F12:G12"/>
    <mergeCell ref="F24:G24"/>
    <mergeCell ref="F30:G30"/>
    <mergeCell ref="F15:G15"/>
    <mergeCell ref="F17:G17"/>
    <mergeCell ref="E6:F6"/>
    <mergeCell ref="F13:G13"/>
    <mergeCell ref="B7:G7"/>
    <mergeCell ref="B6:C6"/>
    <mergeCell ref="B8:E8"/>
    <mergeCell ref="A39:G39"/>
    <mergeCell ref="A34:G34"/>
    <mergeCell ref="F20:G20"/>
    <mergeCell ref="F18:G18"/>
    <mergeCell ref="F33:G33"/>
    <mergeCell ref="F32:G32"/>
    <mergeCell ref="F26:G26"/>
    <mergeCell ref="A36:D38"/>
    <mergeCell ref="F23:G23"/>
    <mergeCell ref="A33:E33"/>
    <mergeCell ref="F31:G31"/>
    <mergeCell ref="F22:G22"/>
    <mergeCell ref="F28:G28"/>
    <mergeCell ref="A32:E32"/>
    <mergeCell ref="F27:G27"/>
    <mergeCell ref="F21:G21"/>
    <mergeCell ref="F11:G11"/>
    <mergeCell ref="F29:G29"/>
    <mergeCell ref="F10:G10"/>
    <mergeCell ref="F16:G16"/>
    <mergeCell ref="F19:G19"/>
    <mergeCell ref="F25:G25"/>
  </mergeCells>
  <pageMargins left="0.4" right="0.4" top="0.4" bottom="0.4" header="0.2" footer="0.2"/>
  <pageSetup paperSize="9" scale="81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promptTitle="Customer" prompt="Select customer from the registered list" xr:uid="{00000000-0002-0000-0300-000000000000}">
          <x14:formula1>
            <xm:f>'CUSTOMER REGISTER'!$B$3:$B$50</xm:f>
          </x14:formula1>
          <x14:formula2>
            <xm:f>0</xm:f>
          </x14:formula2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C9A227"/>
  </sheetPr>
  <dimension ref="A1:G203"/>
  <sheetViews>
    <sheetView showGridLines="0" workbookViewId="0">
      <selection activeCell="B3" sqref="B3:G3"/>
    </sheetView>
  </sheetViews>
  <sheetFormatPr defaultColWidth="8.7265625" defaultRowHeight="14.5" x14ac:dyDescent="0.35"/>
  <cols>
    <col min="1" max="1" width="8" customWidth="1"/>
    <col min="2" max="2" width="16" customWidth="1"/>
    <col min="3" max="4" width="30" customWidth="1"/>
    <col min="5" max="6" width="14" customWidth="1"/>
    <col min="7" max="7" width="16" customWidth="1"/>
  </cols>
  <sheetData>
    <row r="1" spans="1:7" ht="30" customHeight="1" x14ac:dyDescent="0.35">
      <c r="A1" s="51" t="s">
        <v>121</v>
      </c>
      <c r="B1" s="44"/>
      <c r="C1" s="44"/>
      <c r="D1" s="44"/>
      <c r="E1" s="44"/>
      <c r="F1" s="44"/>
      <c r="G1" s="44"/>
    </row>
    <row r="2" spans="1:7" ht="25.5" customHeight="1" x14ac:dyDescent="0.35">
      <c r="A2" s="9" t="s">
        <v>43</v>
      </c>
      <c r="B2" s="9" t="s">
        <v>122</v>
      </c>
      <c r="C2" s="9" t="s">
        <v>123</v>
      </c>
      <c r="D2" s="9" t="s">
        <v>45</v>
      </c>
      <c r="E2" s="9" t="s">
        <v>124</v>
      </c>
      <c r="F2" s="9" t="s">
        <v>125</v>
      </c>
      <c r="G2" s="9" t="s">
        <v>126</v>
      </c>
    </row>
    <row r="3" spans="1:7" ht="15.75" customHeight="1" x14ac:dyDescent="0.35">
      <c r="A3" s="5">
        <v>1</v>
      </c>
      <c r="B3" s="5" t="s">
        <v>133</v>
      </c>
      <c r="C3" s="6" t="s">
        <v>48</v>
      </c>
      <c r="D3" s="6" t="s">
        <v>49</v>
      </c>
      <c r="E3" s="20">
        <v>46122</v>
      </c>
      <c r="F3" s="5">
        <v>441</v>
      </c>
      <c r="G3" s="41">
        <v>7100</v>
      </c>
    </row>
    <row r="4" spans="1:7" ht="15.75" customHeight="1" x14ac:dyDescent="0.35">
      <c r="A4" s="2">
        <v>2</v>
      </c>
      <c r="B4" s="2" t="s">
        <v>136</v>
      </c>
      <c r="C4" s="3" t="s">
        <v>48</v>
      </c>
      <c r="D4" s="3" t="s">
        <v>49</v>
      </c>
      <c r="E4" s="21">
        <v>46122</v>
      </c>
      <c r="F4" s="2">
        <v>100</v>
      </c>
      <c r="G4" s="37">
        <v>1500</v>
      </c>
    </row>
    <row r="5" spans="1:7" ht="15.75" customHeight="1" x14ac:dyDescent="0.35">
      <c r="A5" s="5">
        <v>3</v>
      </c>
      <c r="B5" s="5"/>
      <c r="C5" s="6"/>
      <c r="D5" s="6"/>
      <c r="E5" s="5"/>
      <c r="F5" s="5"/>
      <c r="G5" s="10"/>
    </row>
    <row r="6" spans="1:7" ht="15.75" customHeight="1" x14ac:dyDescent="0.35">
      <c r="A6" s="2">
        <v>4</v>
      </c>
      <c r="B6" s="2"/>
      <c r="C6" s="3"/>
      <c r="D6" s="3"/>
      <c r="E6" s="2"/>
      <c r="F6" s="2"/>
      <c r="G6" s="11"/>
    </row>
    <row r="7" spans="1:7" ht="15.75" customHeight="1" x14ac:dyDescent="0.35">
      <c r="A7" s="5">
        <v>5</v>
      </c>
      <c r="B7" s="5"/>
      <c r="C7" s="6"/>
      <c r="D7" s="6"/>
      <c r="E7" s="5"/>
      <c r="F7" s="5"/>
      <c r="G7" s="10"/>
    </row>
    <row r="8" spans="1:7" ht="15.75" customHeight="1" x14ac:dyDescent="0.35">
      <c r="A8" s="2">
        <v>6</v>
      </c>
      <c r="B8" s="2"/>
      <c r="C8" s="3"/>
      <c r="D8" s="3"/>
      <c r="E8" s="2"/>
      <c r="F8" s="2"/>
      <c r="G8" s="11"/>
    </row>
    <row r="9" spans="1:7" ht="15.75" customHeight="1" x14ac:dyDescent="0.35">
      <c r="A9" s="5">
        <v>7</v>
      </c>
      <c r="B9" s="5"/>
      <c r="C9" s="6"/>
      <c r="D9" s="6"/>
      <c r="E9" s="5"/>
      <c r="F9" s="5"/>
      <c r="G9" s="10"/>
    </row>
    <row r="10" spans="1:7" ht="15.75" customHeight="1" x14ac:dyDescent="0.35">
      <c r="A10" s="2">
        <v>8</v>
      </c>
      <c r="B10" s="2"/>
      <c r="C10" s="3"/>
      <c r="D10" s="3"/>
      <c r="E10" s="2"/>
      <c r="F10" s="2"/>
      <c r="G10" s="11"/>
    </row>
    <row r="11" spans="1:7" ht="15.75" customHeight="1" x14ac:dyDescent="0.35">
      <c r="A11" s="5">
        <v>9</v>
      </c>
      <c r="B11" s="5"/>
      <c r="C11" s="6"/>
      <c r="D11" s="6"/>
      <c r="E11" s="5"/>
      <c r="F11" s="5"/>
      <c r="G11" s="10"/>
    </row>
    <row r="12" spans="1:7" ht="15.75" customHeight="1" x14ac:dyDescent="0.35">
      <c r="A12" s="2">
        <v>10</v>
      </c>
      <c r="B12" s="2"/>
      <c r="C12" s="3"/>
      <c r="D12" s="3"/>
      <c r="E12" s="2"/>
      <c r="F12" s="2"/>
      <c r="G12" s="11"/>
    </row>
    <row r="13" spans="1:7" ht="15.75" customHeight="1" x14ac:dyDescent="0.35">
      <c r="A13" s="5">
        <v>11</v>
      </c>
      <c r="B13" s="5"/>
      <c r="C13" s="6"/>
      <c r="D13" s="6"/>
      <c r="E13" s="5"/>
      <c r="F13" s="5"/>
      <c r="G13" s="10"/>
    </row>
    <row r="14" spans="1:7" ht="15.75" customHeight="1" x14ac:dyDescent="0.35">
      <c r="A14" s="2">
        <v>12</v>
      </c>
      <c r="B14" s="2"/>
      <c r="C14" s="3"/>
      <c r="D14" s="3"/>
      <c r="E14" s="2"/>
      <c r="F14" s="2"/>
      <c r="G14" s="11"/>
    </row>
    <row r="15" spans="1:7" ht="15.75" customHeight="1" x14ac:dyDescent="0.35">
      <c r="A15" s="5">
        <v>13</v>
      </c>
      <c r="B15" s="5"/>
      <c r="C15" s="6"/>
      <c r="D15" s="6"/>
      <c r="E15" s="5"/>
      <c r="F15" s="5"/>
      <c r="G15" s="10"/>
    </row>
    <row r="16" spans="1:7" ht="15.75" customHeight="1" x14ac:dyDescent="0.35">
      <c r="A16" s="2">
        <v>14</v>
      </c>
      <c r="B16" s="2"/>
      <c r="C16" s="3"/>
      <c r="D16" s="3"/>
      <c r="E16" s="2"/>
      <c r="F16" s="2"/>
      <c r="G16" s="11"/>
    </row>
    <row r="17" spans="1:7" ht="15.75" customHeight="1" x14ac:dyDescent="0.35">
      <c r="A17" s="5">
        <v>15</v>
      </c>
      <c r="B17" s="5"/>
      <c r="C17" s="6"/>
      <c r="D17" s="6"/>
      <c r="E17" s="5"/>
      <c r="F17" s="5"/>
      <c r="G17" s="10"/>
    </row>
    <row r="18" spans="1:7" ht="15.75" customHeight="1" x14ac:dyDescent="0.35">
      <c r="A18" s="2">
        <v>16</v>
      </c>
      <c r="B18" s="2"/>
      <c r="C18" s="3"/>
      <c r="D18" s="3"/>
      <c r="E18" s="2"/>
      <c r="F18" s="2"/>
      <c r="G18" s="11"/>
    </row>
    <row r="19" spans="1:7" ht="15.75" customHeight="1" x14ac:dyDescent="0.35">
      <c r="A19" s="5">
        <v>17</v>
      </c>
      <c r="B19" s="5"/>
      <c r="C19" s="6"/>
      <c r="D19" s="6"/>
      <c r="E19" s="5"/>
      <c r="F19" s="5"/>
      <c r="G19" s="10"/>
    </row>
    <row r="20" spans="1:7" ht="15.75" customHeight="1" x14ac:dyDescent="0.35">
      <c r="A20" s="2">
        <v>18</v>
      </c>
      <c r="B20" s="2"/>
      <c r="C20" s="3"/>
      <c r="D20" s="3"/>
      <c r="E20" s="2"/>
      <c r="F20" s="2"/>
      <c r="G20" s="11"/>
    </row>
    <row r="21" spans="1:7" ht="15.75" customHeight="1" x14ac:dyDescent="0.35">
      <c r="A21" s="5">
        <v>19</v>
      </c>
      <c r="B21" s="5"/>
      <c r="C21" s="6"/>
      <c r="D21" s="6"/>
      <c r="E21" s="5"/>
      <c r="F21" s="5"/>
      <c r="G21" s="10"/>
    </row>
    <row r="22" spans="1:7" ht="15.75" customHeight="1" x14ac:dyDescent="0.35">
      <c r="A22" s="2">
        <v>20</v>
      </c>
      <c r="B22" s="2"/>
      <c r="C22" s="3"/>
      <c r="D22" s="3"/>
      <c r="E22" s="2"/>
      <c r="F22" s="2"/>
      <c r="G22" s="11"/>
    </row>
    <row r="23" spans="1:7" ht="15.75" customHeight="1" x14ac:dyDescent="0.35">
      <c r="A23" s="5">
        <v>21</v>
      </c>
      <c r="B23" s="5"/>
      <c r="C23" s="6"/>
      <c r="D23" s="6"/>
      <c r="E23" s="5"/>
      <c r="F23" s="5"/>
      <c r="G23" s="10"/>
    </row>
    <row r="24" spans="1:7" ht="15.75" customHeight="1" x14ac:dyDescent="0.35">
      <c r="A24" s="2">
        <v>22</v>
      </c>
      <c r="B24" s="2"/>
      <c r="C24" s="3"/>
      <c r="D24" s="3"/>
      <c r="E24" s="2"/>
      <c r="F24" s="2"/>
      <c r="G24" s="11"/>
    </row>
    <row r="25" spans="1:7" ht="15.75" customHeight="1" x14ac:dyDescent="0.35">
      <c r="A25" s="5">
        <v>23</v>
      </c>
      <c r="B25" s="5"/>
      <c r="C25" s="6"/>
      <c r="D25" s="6"/>
      <c r="E25" s="5"/>
      <c r="F25" s="5"/>
      <c r="G25" s="10"/>
    </row>
    <row r="26" spans="1:7" ht="15.75" customHeight="1" x14ac:dyDescent="0.35">
      <c r="A26" s="2">
        <v>24</v>
      </c>
      <c r="B26" s="2"/>
      <c r="C26" s="3"/>
      <c r="D26" s="3"/>
      <c r="E26" s="2"/>
      <c r="F26" s="2"/>
      <c r="G26" s="11"/>
    </row>
    <row r="27" spans="1:7" ht="15.75" customHeight="1" x14ac:dyDescent="0.35">
      <c r="A27" s="5">
        <v>25</v>
      </c>
      <c r="B27" s="5"/>
      <c r="C27" s="6"/>
      <c r="D27" s="6"/>
      <c r="E27" s="5"/>
      <c r="F27" s="5"/>
      <c r="G27" s="10"/>
    </row>
    <row r="28" spans="1:7" ht="15.75" customHeight="1" x14ac:dyDescent="0.35">
      <c r="A28" s="2">
        <v>26</v>
      </c>
      <c r="B28" s="2"/>
      <c r="C28" s="3"/>
      <c r="D28" s="3"/>
      <c r="E28" s="2"/>
      <c r="F28" s="2"/>
      <c r="G28" s="11"/>
    </row>
    <row r="29" spans="1:7" ht="15.75" customHeight="1" x14ac:dyDescent="0.35">
      <c r="A29" s="5">
        <v>27</v>
      </c>
      <c r="B29" s="5"/>
      <c r="C29" s="6"/>
      <c r="D29" s="6"/>
      <c r="E29" s="5"/>
      <c r="F29" s="5"/>
      <c r="G29" s="10"/>
    </row>
    <row r="30" spans="1:7" ht="15.75" customHeight="1" x14ac:dyDescent="0.35">
      <c r="A30" s="2">
        <v>28</v>
      </c>
      <c r="B30" s="2"/>
      <c r="C30" s="3"/>
      <c r="D30" s="3"/>
      <c r="E30" s="2"/>
      <c r="F30" s="2"/>
      <c r="G30" s="11"/>
    </row>
    <row r="31" spans="1:7" ht="15.75" customHeight="1" x14ac:dyDescent="0.35">
      <c r="A31" s="5">
        <v>29</v>
      </c>
      <c r="B31" s="5"/>
      <c r="C31" s="6"/>
      <c r="D31" s="6"/>
      <c r="E31" s="5"/>
      <c r="F31" s="5"/>
      <c r="G31" s="10"/>
    </row>
    <row r="32" spans="1:7" ht="15.75" customHeight="1" x14ac:dyDescent="0.35">
      <c r="A32" s="2">
        <v>30</v>
      </c>
      <c r="B32" s="2"/>
      <c r="C32" s="3"/>
      <c r="D32" s="3"/>
      <c r="E32" s="2"/>
      <c r="F32" s="2"/>
      <c r="G32" s="11"/>
    </row>
    <row r="33" spans="1:7" ht="15.75" customHeight="1" x14ac:dyDescent="0.35">
      <c r="A33" s="5">
        <v>31</v>
      </c>
      <c r="B33" s="5"/>
      <c r="C33" s="6"/>
      <c r="D33" s="6"/>
      <c r="E33" s="5"/>
      <c r="F33" s="5"/>
      <c r="G33" s="10"/>
    </row>
    <row r="34" spans="1:7" ht="15.75" customHeight="1" x14ac:dyDescent="0.35">
      <c r="A34" s="2">
        <v>32</v>
      </c>
      <c r="B34" s="2"/>
      <c r="C34" s="3"/>
      <c r="D34" s="3"/>
      <c r="E34" s="2"/>
      <c r="F34" s="2"/>
      <c r="G34" s="11"/>
    </row>
    <row r="35" spans="1:7" ht="15.75" customHeight="1" x14ac:dyDescent="0.35">
      <c r="A35" s="5">
        <v>33</v>
      </c>
      <c r="B35" s="5"/>
      <c r="C35" s="6"/>
      <c r="D35" s="6"/>
      <c r="E35" s="5"/>
      <c r="F35" s="5"/>
      <c r="G35" s="10"/>
    </row>
    <row r="36" spans="1:7" ht="15.75" customHeight="1" x14ac:dyDescent="0.35">
      <c r="A36" s="2">
        <v>34</v>
      </c>
      <c r="B36" s="2"/>
      <c r="C36" s="3"/>
      <c r="D36" s="3"/>
      <c r="E36" s="2"/>
      <c r="F36" s="2"/>
      <c r="G36" s="11"/>
    </row>
    <row r="37" spans="1:7" ht="15.75" customHeight="1" x14ac:dyDescent="0.35">
      <c r="A37" s="5">
        <v>35</v>
      </c>
      <c r="B37" s="5"/>
      <c r="C37" s="6"/>
      <c r="D37" s="6"/>
      <c r="E37" s="5"/>
      <c r="F37" s="5"/>
      <c r="G37" s="10"/>
    </row>
    <row r="38" spans="1:7" ht="15.75" customHeight="1" x14ac:dyDescent="0.35">
      <c r="A38" s="2">
        <v>36</v>
      </c>
      <c r="B38" s="2"/>
      <c r="C38" s="3"/>
      <c r="D38" s="3"/>
      <c r="E38" s="2"/>
      <c r="F38" s="2"/>
      <c r="G38" s="11"/>
    </row>
    <row r="39" spans="1:7" ht="15.75" customHeight="1" x14ac:dyDescent="0.35">
      <c r="A39" s="5">
        <v>37</v>
      </c>
      <c r="B39" s="5"/>
      <c r="C39" s="6"/>
      <c r="D39" s="6"/>
      <c r="E39" s="5"/>
      <c r="F39" s="5"/>
      <c r="G39" s="10"/>
    </row>
    <row r="40" spans="1:7" ht="15.75" customHeight="1" x14ac:dyDescent="0.35">
      <c r="A40" s="2">
        <v>38</v>
      </c>
      <c r="B40" s="2"/>
      <c r="C40" s="3"/>
      <c r="D40" s="3"/>
      <c r="E40" s="2"/>
      <c r="F40" s="2"/>
      <c r="G40" s="11"/>
    </row>
    <row r="41" spans="1:7" ht="15.75" customHeight="1" x14ac:dyDescent="0.35">
      <c r="A41" s="5">
        <v>39</v>
      </c>
      <c r="B41" s="5"/>
      <c r="C41" s="6"/>
      <c r="D41" s="6"/>
      <c r="E41" s="5"/>
      <c r="F41" s="5"/>
      <c r="G41" s="10"/>
    </row>
    <row r="42" spans="1:7" ht="15.75" customHeight="1" x14ac:dyDescent="0.35">
      <c r="A42" s="2">
        <v>40</v>
      </c>
      <c r="B42" s="2"/>
      <c r="C42" s="3"/>
      <c r="D42" s="3"/>
      <c r="E42" s="2"/>
      <c r="F42" s="2"/>
      <c r="G42" s="11"/>
    </row>
    <row r="43" spans="1:7" ht="15.75" customHeight="1" x14ac:dyDescent="0.35">
      <c r="A43" s="5">
        <v>41</v>
      </c>
      <c r="B43" s="5"/>
      <c r="C43" s="6"/>
      <c r="D43" s="6"/>
      <c r="E43" s="5"/>
      <c r="F43" s="5"/>
      <c r="G43" s="10"/>
    </row>
    <row r="44" spans="1:7" ht="15.75" customHeight="1" x14ac:dyDescent="0.35">
      <c r="A44" s="2">
        <v>42</v>
      </c>
      <c r="B44" s="2"/>
      <c r="C44" s="3"/>
      <c r="D44" s="3"/>
      <c r="E44" s="2"/>
      <c r="F44" s="2"/>
      <c r="G44" s="11"/>
    </row>
    <row r="45" spans="1:7" ht="15.75" customHeight="1" x14ac:dyDescent="0.35">
      <c r="A45" s="5">
        <v>43</v>
      </c>
      <c r="B45" s="5"/>
      <c r="C45" s="6"/>
      <c r="D45" s="6"/>
      <c r="E45" s="5"/>
      <c r="F45" s="5"/>
      <c r="G45" s="10"/>
    </row>
    <row r="46" spans="1:7" ht="15.75" customHeight="1" x14ac:dyDescent="0.35">
      <c r="A46" s="2">
        <v>44</v>
      </c>
      <c r="B46" s="2"/>
      <c r="C46" s="3"/>
      <c r="D46" s="3"/>
      <c r="E46" s="2"/>
      <c r="F46" s="2"/>
      <c r="G46" s="11"/>
    </row>
    <row r="47" spans="1:7" ht="15.75" customHeight="1" x14ac:dyDescent="0.35">
      <c r="A47" s="5">
        <v>45</v>
      </c>
      <c r="B47" s="5"/>
      <c r="C47" s="6"/>
      <c r="D47" s="6"/>
      <c r="E47" s="5"/>
      <c r="F47" s="5"/>
      <c r="G47" s="10"/>
    </row>
    <row r="48" spans="1:7" ht="15.75" customHeight="1" x14ac:dyDescent="0.35">
      <c r="A48" s="2">
        <v>46</v>
      </c>
      <c r="B48" s="2"/>
      <c r="C48" s="3"/>
      <c r="D48" s="3"/>
      <c r="E48" s="2"/>
      <c r="F48" s="2"/>
      <c r="G48" s="11"/>
    </row>
    <row r="49" spans="1:7" ht="15.75" customHeight="1" x14ac:dyDescent="0.35">
      <c r="A49" s="5">
        <v>47</v>
      </c>
      <c r="B49" s="5"/>
      <c r="C49" s="6"/>
      <c r="D49" s="6"/>
      <c r="E49" s="5"/>
      <c r="F49" s="5"/>
      <c r="G49" s="10"/>
    </row>
    <row r="50" spans="1:7" ht="15.75" customHeight="1" x14ac:dyDescent="0.35">
      <c r="A50" s="2">
        <v>48</v>
      </c>
      <c r="B50" s="2"/>
      <c r="C50" s="3"/>
      <c r="D50" s="3"/>
      <c r="E50" s="2"/>
      <c r="F50" s="2"/>
      <c r="G50" s="11"/>
    </row>
    <row r="51" spans="1:7" ht="15.75" customHeight="1" x14ac:dyDescent="0.35">
      <c r="A51" s="5">
        <v>49</v>
      </c>
      <c r="B51" s="5"/>
      <c r="C51" s="6"/>
      <c r="D51" s="6"/>
      <c r="E51" s="5"/>
      <c r="F51" s="5"/>
      <c r="G51" s="10"/>
    </row>
    <row r="52" spans="1:7" ht="15.75" customHeight="1" x14ac:dyDescent="0.35">
      <c r="A52" s="2">
        <v>50</v>
      </c>
      <c r="B52" s="2"/>
      <c r="C52" s="3"/>
      <c r="D52" s="3"/>
      <c r="E52" s="2"/>
      <c r="F52" s="2"/>
      <c r="G52" s="11"/>
    </row>
    <row r="53" spans="1:7" ht="15.75" customHeight="1" x14ac:dyDescent="0.35">
      <c r="A53" s="5">
        <v>51</v>
      </c>
      <c r="B53" s="5"/>
      <c r="C53" s="6"/>
      <c r="D53" s="6"/>
      <c r="E53" s="5"/>
      <c r="F53" s="5"/>
      <c r="G53" s="10"/>
    </row>
    <row r="54" spans="1:7" ht="15.75" customHeight="1" x14ac:dyDescent="0.35">
      <c r="A54" s="2">
        <v>52</v>
      </c>
      <c r="B54" s="2"/>
      <c r="C54" s="3"/>
      <c r="D54" s="3"/>
      <c r="E54" s="2"/>
      <c r="F54" s="2"/>
      <c r="G54" s="11"/>
    </row>
    <row r="55" spans="1:7" ht="15.75" customHeight="1" x14ac:dyDescent="0.35">
      <c r="A55" s="5">
        <v>53</v>
      </c>
      <c r="B55" s="5"/>
      <c r="C55" s="6"/>
      <c r="D55" s="6"/>
      <c r="E55" s="5"/>
      <c r="F55" s="5"/>
      <c r="G55" s="10"/>
    </row>
    <row r="56" spans="1:7" ht="15.75" customHeight="1" x14ac:dyDescent="0.35">
      <c r="A56" s="2">
        <v>54</v>
      </c>
      <c r="B56" s="2"/>
      <c r="C56" s="3"/>
      <c r="D56" s="3"/>
      <c r="E56" s="2"/>
      <c r="F56" s="2"/>
      <c r="G56" s="11"/>
    </row>
    <row r="57" spans="1:7" ht="15.75" customHeight="1" x14ac:dyDescent="0.35">
      <c r="A57" s="5">
        <v>55</v>
      </c>
      <c r="B57" s="5"/>
      <c r="C57" s="6"/>
      <c r="D57" s="6"/>
      <c r="E57" s="5"/>
      <c r="F57" s="5"/>
      <c r="G57" s="10"/>
    </row>
    <row r="58" spans="1:7" ht="15.75" customHeight="1" x14ac:dyDescent="0.35">
      <c r="A58" s="2">
        <v>56</v>
      </c>
      <c r="B58" s="2"/>
      <c r="C58" s="3"/>
      <c r="D58" s="3"/>
      <c r="E58" s="2"/>
      <c r="F58" s="2"/>
      <c r="G58" s="11"/>
    </row>
    <row r="59" spans="1:7" ht="15.75" customHeight="1" x14ac:dyDescent="0.35">
      <c r="A59" s="5">
        <v>57</v>
      </c>
      <c r="B59" s="5"/>
      <c r="C59" s="6"/>
      <c r="D59" s="6"/>
      <c r="E59" s="5"/>
      <c r="F59" s="5"/>
      <c r="G59" s="10"/>
    </row>
    <row r="60" spans="1:7" ht="15.75" customHeight="1" x14ac:dyDescent="0.35">
      <c r="A60" s="2">
        <v>58</v>
      </c>
      <c r="B60" s="2"/>
      <c r="C60" s="3"/>
      <c r="D60" s="3"/>
      <c r="E60" s="2"/>
      <c r="F60" s="2"/>
      <c r="G60" s="11"/>
    </row>
    <row r="61" spans="1:7" ht="15.75" customHeight="1" x14ac:dyDescent="0.35">
      <c r="A61" s="5">
        <v>59</v>
      </c>
      <c r="B61" s="5"/>
      <c r="C61" s="6"/>
      <c r="D61" s="6"/>
      <c r="E61" s="5"/>
      <c r="F61" s="5"/>
      <c r="G61" s="10"/>
    </row>
    <row r="62" spans="1:7" ht="15.75" customHeight="1" x14ac:dyDescent="0.35">
      <c r="A62" s="2">
        <v>60</v>
      </c>
      <c r="B62" s="2"/>
      <c r="C62" s="3"/>
      <c r="D62" s="3"/>
      <c r="E62" s="2"/>
      <c r="F62" s="2"/>
      <c r="G62" s="11"/>
    </row>
    <row r="63" spans="1:7" ht="15.75" customHeight="1" x14ac:dyDescent="0.35">
      <c r="A63" s="5">
        <v>61</v>
      </c>
      <c r="B63" s="5"/>
      <c r="C63" s="6"/>
      <c r="D63" s="6"/>
      <c r="E63" s="5"/>
      <c r="F63" s="5"/>
      <c r="G63" s="10"/>
    </row>
    <row r="64" spans="1:7" ht="15.75" customHeight="1" x14ac:dyDescent="0.35">
      <c r="A64" s="2">
        <v>62</v>
      </c>
      <c r="B64" s="2"/>
      <c r="C64" s="3"/>
      <c r="D64" s="3"/>
      <c r="E64" s="2"/>
      <c r="F64" s="2"/>
      <c r="G64" s="11"/>
    </row>
    <row r="65" spans="1:7" ht="15.75" customHeight="1" x14ac:dyDescent="0.35">
      <c r="A65" s="5">
        <v>63</v>
      </c>
      <c r="B65" s="5"/>
      <c r="C65" s="6"/>
      <c r="D65" s="6"/>
      <c r="E65" s="5"/>
      <c r="F65" s="5"/>
      <c r="G65" s="10"/>
    </row>
    <row r="66" spans="1:7" ht="15.75" customHeight="1" x14ac:dyDescent="0.35">
      <c r="A66" s="2">
        <v>64</v>
      </c>
      <c r="B66" s="2"/>
      <c r="C66" s="3"/>
      <c r="D66" s="3"/>
      <c r="E66" s="2"/>
      <c r="F66" s="2"/>
      <c r="G66" s="11"/>
    </row>
    <row r="67" spans="1:7" ht="15.75" customHeight="1" x14ac:dyDescent="0.35">
      <c r="A67" s="5">
        <v>65</v>
      </c>
      <c r="B67" s="5"/>
      <c r="C67" s="6"/>
      <c r="D67" s="6"/>
      <c r="E67" s="5"/>
      <c r="F67" s="5"/>
      <c r="G67" s="10"/>
    </row>
    <row r="68" spans="1:7" ht="15.75" customHeight="1" x14ac:dyDescent="0.35">
      <c r="A68" s="2">
        <v>66</v>
      </c>
      <c r="B68" s="2"/>
      <c r="C68" s="3"/>
      <c r="D68" s="3"/>
      <c r="E68" s="2"/>
      <c r="F68" s="2"/>
      <c r="G68" s="11"/>
    </row>
    <row r="69" spans="1:7" ht="15.75" customHeight="1" x14ac:dyDescent="0.35">
      <c r="A69" s="5">
        <v>67</v>
      </c>
      <c r="B69" s="5"/>
      <c r="C69" s="6"/>
      <c r="D69" s="6"/>
      <c r="E69" s="5"/>
      <c r="F69" s="5"/>
      <c r="G69" s="10"/>
    </row>
    <row r="70" spans="1:7" ht="15.75" customHeight="1" x14ac:dyDescent="0.35">
      <c r="A70" s="2">
        <v>68</v>
      </c>
      <c r="B70" s="2"/>
      <c r="C70" s="3"/>
      <c r="D70" s="3"/>
      <c r="E70" s="2"/>
      <c r="F70" s="2"/>
      <c r="G70" s="11"/>
    </row>
    <row r="71" spans="1:7" ht="15.75" customHeight="1" x14ac:dyDescent="0.35">
      <c r="A71" s="5">
        <v>69</v>
      </c>
      <c r="B71" s="5"/>
      <c r="C71" s="6"/>
      <c r="D71" s="6"/>
      <c r="E71" s="5"/>
      <c r="F71" s="5"/>
      <c r="G71" s="10"/>
    </row>
    <row r="72" spans="1:7" ht="15.75" customHeight="1" x14ac:dyDescent="0.35">
      <c r="A72" s="2">
        <v>70</v>
      </c>
      <c r="B72" s="2"/>
      <c r="C72" s="3"/>
      <c r="D72" s="3"/>
      <c r="E72" s="2"/>
      <c r="F72" s="2"/>
      <c r="G72" s="11"/>
    </row>
    <row r="73" spans="1:7" ht="15.75" customHeight="1" x14ac:dyDescent="0.35">
      <c r="A73" s="5">
        <v>71</v>
      </c>
      <c r="B73" s="5"/>
      <c r="C73" s="6"/>
      <c r="D73" s="6"/>
      <c r="E73" s="5"/>
      <c r="F73" s="5"/>
      <c r="G73" s="10"/>
    </row>
    <row r="74" spans="1:7" ht="15.75" customHeight="1" x14ac:dyDescent="0.35">
      <c r="A74" s="2">
        <v>72</v>
      </c>
      <c r="B74" s="2"/>
      <c r="C74" s="3"/>
      <c r="D74" s="3"/>
      <c r="E74" s="2"/>
      <c r="F74" s="2"/>
      <c r="G74" s="11"/>
    </row>
    <row r="75" spans="1:7" ht="15.75" customHeight="1" x14ac:dyDescent="0.35">
      <c r="A75" s="5">
        <v>73</v>
      </c>
      <c r="B75" s="5"/>
      <c r="C75" s="6"/>
      <c r="D75" s="6"/>
      <c r="E75" s="5"/>
      <c r="F75" s="5"/>
      <c r="G75" s="10"/>
    </row>
    <row r="76" spans="1:7" ht="15.75" customHeight="1" x14ac:dyDescent="0.35">
      <c r="A76" s="2">
        <v>74</v>
      </c>
      <c r="B76" s="2"/>
      <c r="C76" s="3"/>
      <c r="D76" s="3"/>
      <c r="E76" s="2"/>
      <c r="F76" s="2"/>
      <c r="G76" s="11"/>
    </row>
    <row r="77" spans="1:7" ht="15.75" customHeight="1" x14ac:dyDescent="0.35">
      <c r="A77" s="5">
        <v>75</v>
      </c>
      <c r="B77" s="5"/>
      <c r="C77" s="6"/>
      <c r="D77" s="6"/>
      <c r="E77" s="5"/>
      <c r="F77" s="5"/>
      <c r="G77" s="10"/>
    </row>
    <row r="78" spans="1:7" ht="15.75" customHeight="1" x14ac:dyDescent="0.35">
      <c r="A78" s="2">
        <v>76</v>
      </c>
      <c r="B78" s="2"/>
      <c r="C78" s="3"/>
      <c r="D78" s="3"/>
      <c r="E78" s="2"/>
      <c r="F78" s="2"/>
      <c r="G78" s="11"/>
    </row>
    <row r="79" spans="1:7" ht="15.75" customHeight="1" x14ac:dyDescent="0.35">
      <c r="A79" s="5">
        <v>77</v>
      </c>
      <c r="B79" s="5"/>
      <c r="C79" s="6"/>
      <c r="D79" s="6"/>
      <c r="E79" s="5"/>
      <c r="F79" s="5"/>
      <c r="G79" s="10"/>
    </row>
    <row r="80" spans="1:7" ht="15.75" customHeight="1" x14ac:dyDescent="0.35">
      <c r="A80" s="2">
        <v>78</v>
      </c>
      <c r="B80" s="2"/>
      <c r="C80" s="3"/>
      <c r="D80" s="3"/>
      <c r="E80" s="2"/>
      <c r="F80" s="2"/>
      <c r="G80" s="11"/>
    </row>
    <row r="81" spans="1:7" ht="15.75" customHeight="1" x14ac:dyDescent="0.35">
      <c r="A81" s="5">
        <v>79</v>
      </c>
      <c r="B81" s="5"/>
      <c r="C81" s="6"/>
      <c r="D81" s="6"/>
      <c r="E81" s="5"/>
      <c r="F81" s="5"/>
      <c r="G81" s="10"/>
    </row>
    <row r="82" spans="1:7" ht="15.75" customHeight="1" x14ac:dyDescent="0.35">
      <c r="A82" s="2">
        <v>80</v>
      </c>
      <c r="B82" s="2"/>
      <c r="C82" s="3"/>
      <c r="D82" s="3"/>
      <c r="E82" s="2"/>
      <c r="F82" s="2"/>
      <c r="G82" s="11"/>
    </row>
    <row r="83" spans="1:7" ht="15.75" customHeight="1" x14ac:dyDescent="0.35">
      <c r="A83" s="5">
        <v>81</v>
      </c>
      <c r="B83" s="5"/>
      <c r="C83" s="6"/>
      <c r="D83" s="6"/>
      <c r="E83" s="5"/>
      <c r="F83" s="5"/>
      <c r="G83" s="10"/>
    </row>
    <row r="84" spans="1:7" ht="15.75" customHeight="1" x14ac:dyDescent="0.35">
      <c r="A84" s="2">
        <v>82</v>
      </c>
      <c r="B84" s="2"/>
      <c r="C84" s="3"/>
      <c r="D84" s="3"/>
      <c r="E84" s="2"/>
      <c r="F84" s="2"/>
      <c r="G84" s="11"/>
    </row>
    <row r="85" spans="1:7" ht="15.75" customHeight="1" x14ac:dyDescent="0.35">
      <c r="A85" s="5">
        <v>83</v>
      </c>
      <c r="B85" s="5"/>
      <c r="C85" s="6"/>
      <c r="D85" s="6"/>
      <c r="E85" s="5"/>
      <c r="F85" s="5"/>
      <c r="G85" s="10"/>
    </row>
    <row r="86" spans="1:7" ht="15.75" customHeight="1" x14ac:dyDescent="0.35">
      <c r="A86" s="2">
        <v>84</v>
      </c>
      <c r="B86" s="2"/>
      <c r="C86" s="3"/>
      <c r="D86" s="3"/>
      <c r="E86" s="2"/>
      <c r="F86" s="2"/>
      <c r="G86" s="11"/>
    </row>
    <row r="87" spans="1:7" ht="15.75" customHeight="1" x14ac:dyDescent="0.35">
      <c r="A87" s="5">
        <v>85</v>
      </c>
      <c r="B87" s="5"/>
      <c r="C87" s="6"/>
      <c r="D87" s="6"/>
      <c r="E87" s="5"/>
      <c r="F87" s="5"/>
      <c r="G87" s="10"/>
    </row>
    <row r="88" spans="1:7" ht="15.75" customHeight="1" x14ac:dyDescent="0.35">
      <c r="A88" s="2">
        <v>86</v>
      </c>
      <c r="B88" s="2"/>
      <c r="C88" s="3"/>
      <c r="D88" s="3"/>
      <c r="E88" s="2"/>
      <c r="F88" s="2"/>
      <c r="G88" s="11"/>
    </row>
    <row r="89" spans="1:7" ht="15.75" customHeight="1" x14ac:dyDescent="0.35">
      <c r="A89" s="5">
        <v>87</v>
      </c>
      <c r="B89" s="5"/>
      <c r="C89" s="6"/>
      <c r="D89" s="6"/>
      <c r="E89" s="5"/>
      <c r="F89" s="5"/>
      <c r="G89" s="10"/>
    </row>
    <row r="90" spans="1:7" ht="15.75" customHeight="1" x14ac:dyDescent="0.35">
      <c r="A90" s="2">
        <v>88</v>
      </c>
      <c r="B90" s="2"/>
      <c r="C90" s="3"/>
      <c r="D90" s="3"/>
      <c r="E90" s="2"/>
      <c r="F90" s="2"/>
      <c r="G90" s="11"/>
    </row>
    <row r="91" spans="1:7" ht="15.75" customHeight="1" x14ac:dyDescent="0.35">
      <c r="A91" s="5">
        <v>89</v>
      </c>
      <c r="B91" s="5"/>
      <c r="C91" s="6"/>
      <c r="D91" s="6"/>
      <c r="E91" s="5"/>
      <c r="F91" s="5"/>
      <c r="G91" s="10"/>
    </row>
    <row r="92" spans="1:7" ht="15.75" customHeight="1" x14ac:dyDescent="0.35">
      <c r="A92" s="2">
        <v>90</v>
      </c>
      <c r="B92" s="2"/>
      <c r="C92" s="3"/>
      <c r="D92" s="3"/>
      <c r="E92" s="2"/>
      <c r="F92" s="2"/>
      <c r="G92" s="11"/>
    </row>
    <row r="93" spans="1:7" ht="15.75" customHeight="1" x14ac:dyDescent="0.35">
      <c r="A93" s="5">
        <v>91</v>
      </c>
      <c r="B93" s="5"/>
      <c r="C93" s="6"/>
      <c r="D93" s="6"/>
      <c r="E93" s="5"/>
      <c r="F93" s="5"/>
      <c r="G93" s="10"/>
    </row>
    <row r="94" spans="1:7" ht="15.75" customHeight="1" x14ac:dyDescent="0.35">
      <c r="A94" s="2">
        <v>92</v>
      </c>
      <c r="B94" s="2"/>
      <c r="C94" s="3"/>
      <c r="D94" s="3"/>
      <c r="E94" s="2"/>
      <c r="F94" s="2"/>
      <c r="G94" s="11"/>
    </row>
    <row r="95" spans="1:7" ht="15.75" customHeight="1" x14ac:dyDescent="0.35">
      <c r="A95" s="5">
        <v>93</v>
      </c>
      <c r="B95" s="5"/>
      <c r="C95" s="6"/>
      <c r="D95" s="6"/>
      <c r="E95" s="5"/>
      <c r="F95" s="5"/>
      <c r="G95" s="10"/>
    </row>
    <row r="96" spans="1:7" ht="15.75" customHeight="1" x14ac:dyDescent="0.35">
      <c r="A96" s="2">
        <v>94</v>
      </c>
      <c r="B96" s="2"/>
      <c r="C96" s="3"/>
      <c r="D96" s="3"/>
      <c r="E96" s="2"/>
      <c r="F96" s="2"/>
      <c r="G96" s="11"/>
    </row>
    <row r="97" spans="1:7" ht="15.75" customHeight="1" x14ac:dyDescent="0.35">
      <c r="A97" s="5">
        <v>95</v>
      </c>
      <c r="B97" s="5"/>
      <c r="C97" s="6"/>
      <c r="D97" s="6"/>
      <c r="E97" s="5"/>
      <c r="F97" s="5"/>
      <c r="G97" s="10"/>
    </row>
    <row r="98" spans="1:7" ht="15.75" customHeight="1" x14ac:dyDescent="0.35">
      <c r="A98" s="2">
        <v>96</v>
      </c>
      <c r="B98" s="2"/>
      <c r="C98" s="3"/>
      <c r="D98" s="3"/>
      <c r="E98" s="2"/>
      <c r="F98" s="2"/>
      <c r="G98" s="11"/>
    </row>
    <row r="99" spans="1:7" ht="15.75" customHeight="1" x14ac:dyDescent="0.35">
      <c r="A99" s="5">
        <v>97</v>
      </c>
      <c r="B99" s="5"/>
      <c r="C99" s="6"/>
      <c r="D99" s="6"/>
      <c r="E99" s="5"/>
      <c r="F99" s="5"/>
      <c r="G99" s="10"/>
    </row>
    <row r="100" spans="1:7" ht="15.75" customHeight="1" x14ac:dyDescent="0.35">
      <c r="A100" s="2">
        <v>98</v>
      </c>
      <c r="B100" s="2"/>
      <c r="C100" s="3"/>
      <c r="D100" s="3"/>
      <c r="E100" s="2"/>
      <c r="F100" s="2"/>
      <c r="G100" s="11"/>
    </row>
    <row r="101" spans="1:7" ht="15.75" customHeight="1" x14ac:dyDescent="0.35">
      <c r="A101" s="5">
        <v>99</v>
      </c>
      <c r="B101" s="5"/>
      <c r="C101" s="6"/>
      <c r="D101" s="6"/>
      <c r="E101" s="5"/>
      <c r="F101" s="5"/>
      <c r="G101" s="10"/>
    </row>
    <row r="102" spans="1:7" ht="15.75" customHeight="1" x14ac:dyDescent="0.35">
      <c r="A102" s="2">
        <v>100</v>
      </c>
      <c r="B102" s="2"/>
      <c r="C102" s="3"/>
      <c r="D102" s="3"/>
      <c r="E102" s="2"/>
      <c r="F102" s="2"/>
      <c r="G102" s="11"/>
    </row>
    <row r="103" spans="1:7" ht="15.75" customHeight="1" x14ac:dyDescent="0.35">
      <c r="A103" s="5">
        <v>101</v>
      </c>
      <c r="B103" s="5"/>
      <c r="C103" s="6"/>
      <c r="D103" s="6"/>
      <c r="E103" s="5"/>
      <c r="F103" s="5"/>
      <c r="G103" s="10"/>
    </row>
    <row r="104" spans="1:7" ht="15.75" customHeight="1" x14ac:dyDescent="0.35">
      <c r="A104" s="2">
        <v>102</v>
      </c>
      <c r="B104" s="2"/>
      <c r="C104" s="3"/>
      <c r="D104" s="3"/>
      <c r="E104" s="2"/>
      <c r="F104" s="2"/>
      <c r="G104" s="11"/>
    </row>
    <row r="105" spans="1:7" ht="15.75" customHeight="1" x14ac:dyDescent="0.35">
      <c r="A105" s="5">
        <v>103</v>
      </c>
      <c r="B105" s="5"/>
      <c r="C105" s="6"/>
      <c r="D105" s="6"/>
      <c r="E105" s="5"/>
      <c r="F105" s="5"/>
      <c r="G105" s="10"/>
    </row>
    <row r="106" spans="1:7" ht="15.75" customHeight="1" x14ac:dyDescent="0.35">
      <c r="A106" s="2">
        <v>104</v>
      </c>
      <c r="B106" s="2"/>
      <c r="C106" s="3"/>
      <c r="D106" s="3"/>
      <c r="E106" s="2"/>
      <c r="F106" s="2"/>
      <c r="G106" s="11"/>
    </row>
    <row r="107" spans="1:7" ht="15.75" customHeight="1" x14ac:dyDescent="0.35">
      <c r="A107" s="5">
        <v>105</v>
      </c>
      <c r="B107" s="5"/>
      <c r="C107" s="6"/>
      <c r="D107" s="6"/>
      <c r="E107" s="5"/>
      <c r="F107" s="5"/>
      <c r="G107" s="10"/>
    </row>
    <row r="108" spans="1:7" ht="15.75" customHeight="1" x14ac:dyDescent="0.35">
      <c r="A108" s="2">
        <v>106</v>
      </c>
      <c r="B108" s="2"/>
      <c r="C108" s="3"/>
      <c r="D108" s="3"/>
      <c r="E108" s="2"/>
      <c r="F108" s="2"/>
      <c r="G108" s="11"/>
    </row>
    <row r="109" spans="1:7" ht="15.75" customHeight="1" x14ac:dyDescent="0.35">
      <c r="A109" s="5">
        <v>107</v>
      </c>
      <c r="B109" s="5"/>
      <c r="C109" s="6"/>
      <c r="D109" s="6"/>
      <c r="E109" s="5"/>
      <c r="F109" s="5"/>
      <c r="G109" s="10"/>
    </row>
    <row r="110" spans="1:7" ht="15.75" customHeight="1" x14ac:dyDescent="0.35">
      <c r="A110" s="2">
        <v>108</v>
      </c>
      <c r="B110" s="2"/>
      <c r="C110" s="3"/>
      <c r="D110" s="3"/>
      <c r="E110" s="2"/>
      <c r="F110" s="2"/>
      <c r="G110" s="11"/>
    </row>
    <row r="111" spans="1:7" ht="15.75" customHeight="1" x14ac:dyDescent="0.35">
      <c r="A111" s="5">
        <v>109</v>
      </c>
      <c r="B111" s="5"/>
      <c r="C111" s="6"/>
      <c r="D111" s="6"/>
      <c r="E111" s="5"/>
      <c r="F111" s="5"/>
      <c r="G111" s="10"/>
    </row>
    <row r="112" spans="1:7" ht="15.75" customHeight="1" x14ac:dyDescent="0.35">
      <c r="A112" s="2">
        <v>110</v>
      </c>
      <c r="B112" s="2"/>
      <c r="C112" s="3"/>
      <c r="D112" s="3"/>
      <c r="E112" s="2"/>
      <c r="F112" s="2"/>
      <c r="G112" s="11"/>
    </row>
    <row r="113" spans="1:7" ht="15.75" customHeight="1" x14ac:dyDescent="0.35">
      <c r="A113" s="5">
        <v>111</v>
      </c>
      <c r="B113" s="5"/>
      <c r="C113" s="6"/>
      <c r="D113" s="6"/>
      <c r="E113" s="5"/>
      <c r="F113" s="5"/>
      <c r="G113" s="10"/>
    </row>
    <row r="114" spans="1:7" ht="15.75" customHeight="1" x14ac:dyDescent="0.35">
      <c r="A114" s="2">
        <v>112</v>
      </c>
      <c r="B114" s="2"/>
      <c r="C114" s="3"/>
      <c r="D114" s="3"/>
      <c r="E114" s="2"/>
      <c r="F114" s="2"/>
      <c r="G114" s="11"/>
    </row>
    <row r="115" spans="1:7" ht="15.75" customHeight="1" x14ac:dyDescent="0.35">
      <c r="A115" s="5">
        <v>113</v>
      </c>
      <c r="B115" s="5"/>
      <c r="C115" s="6"/>
      <c r="D115" s="6"/>
      <c r="E115" s="5"/>
      <c r="F115" s="5"/>
      <c r="G115" s="10"/>
    </row>
    <row r="116" spans="1:7" ht="15.75" customHeight="1" x14ac:dyDescent="0.35">
      <c r="A116" s="2">
        <v>114</v>
      </c>
      <c r="B116" s="2"/>
      <c r="C116" s="3"/>
      <c r="D116" s="3"/>
      <c r="E116" s="2"/>
      <c r="F116" s="2"/>
      <c r="G116" s="11"/>
    </row>
    <row r="117" spans="1:7" ht="15.75" customHeight="1" x14ac:dyDescent="0.35">
      <c r="A117" s="5">
        <v>115</v>
      </c>
      <c r="B117" s="5"/>
      <c r="C117" s="6"/>
      <c r="D117" s="6"/>
      <c r="E117" s="5"/>
      <c r="F117" s="5"/>
      <c r="G117" s="10"/>
    </row>
    <row r="118" spans="1:7" ht="15.75" customHeight="1" x14ac:dyDescent="0.35">
      <c r="A118" s="2">
        <v>116</v>
      </c>
      <c r="B118" s="2"/>
      <c r="C118" s="3"/>
      <c r="D118" s="3"/>
      <c r="E118" s="2"/>
      <c r="F118" s="2"/>
      <c r="G118" s="11"/>
    </row>
    <row r="119" spans="1:7" ht="15.75" customHeight="1" x14ac:dyDescent="0.35">
      <c r="A119" s="5">
        <v>117</v>
      </c>
      <c r="B119" s="5"/>
      <c r="C119" s="6"/>
      <c r="D119" s="6"/>
      <c r="E119" s="5"/>
      <c r="F119" s="5"/>
      <c r="G119" s="10"/>
    </row>
    <row r="120" spans="1:7" ht="15.75" customHeight="1" x14ac:dyDescent="0.35">
      <c r="A120" s="2">
        <v>118</v>
      </c>
      <c r="B120" s="2"/>
      <c r="C120" s="3"/>
      <c r="D120" s="3"/>
      <c r="E120" s="2"/>
      <c r="F120" s="2"/>
      <c r="G120" s="11"/>
    </row>
    <row r="121" spans="1:7" ht="15.75" customHeight="1" x14ac:dyDescent="0.35">
      <c r="A121" s="5">
        <v>119</v>
      </c>
      <c r="B121" s="5"/>
      <c r="C121" s="6"/>
      <c r="D121" s="6"/>
      <c r="E121" s="5"/>
      <c r="F121" s="5"/>
      <c r="G121" s="10"/>
    </row>
    <row r="122" spans="1:7" ht="15.75" customHeight="1" x14ac:dyDescent="0.35">
      <c r="A122" s="2">
        <v>120</v>
      </c>
      <c r="B122" s="2"/>
      <c r="C122" s="3"/>
      <c r="D122" s="3"/>
      <c r="E122" s="2"/>
      <c r="F122" s="2"/>
      <c r="G122" s="11"/>
    </row>
    <row r="123" spans="1:7" ht="15.75" customHeight="1" x14ac:dyDescent="0.35">
      <c r="A123" s="5">
        <v>121</v>
      </c>
      <c r="B123" s="5"/>
      <c r="C123" s="6"/>
      <c r="D123" s="6"/>
      <c r="E123" s="5"/>
      <c r="F123" s="5"/>
      <c r="G123" s="10"/>
    </row>
    <row r="124" spans="1:7" ht="15.75" customHeight="1" x14ac:dyDescent="0.35">
      <c r="A124" s="2">
        <v>122</v>
      </c>
      <c r="B124" s="2"/>
      <c r="C124" s="3"/>
      <c r="D124" s="3"/>
      <c r="E124" s="2"/>
      <c r="F124" s="2"/>
      <c r="G124" s="11"/>
    </row>
    <row r="125" spans="1:7" ht="15.75" customHeight="1" x14ac:dyDescent="0.35">
      <c r="A125" s="5">
        <v>123</v>
      </c>
      <c r="B125" s="5"/>
      <c r="C125" s="6"/>
      <c r="D125" s="6"/>
      <c r="E125" s="5"/>
      <c r="F125" s="5"/>
      <c r="G125" s="10"/>
    </row>
    <row r="126" spans="1:7" ht="15.75" customHeight="1" x14ac:dyDescent="0.35">
      <c r="A126" s="2">
        <v>124</v>
      </c>
      <c r="B126" s="2"/>
      <c r="C126" s="3"/>
      <c r="D126" s="3"/>
      <c r="E126" s="2"/>
      <c r="F126" s="2"/>
      <c r="G126" s="11"/>
    </row>
    <row r="127" spans="1:7" ht="15.75" customHeight="1" x14ac:dyDescent="0.35">
      <c r="A127" s="5">
        <v>125</v>
      </c>
      <c r="B127" s="5"/>
      <c r="C127" s="6"/>
      <c r="D127" s="6"/>
      <c r="E127" s="5"/>
      <c r="F127" s="5"/>
      <c r="G127" s="10"/>
    </row>
    <row r="128" spans="1:7" ht="15.75" customHeight="1" x14ac:dyDescent="0.35">
      <c r="A128" s="2">
        <v>126</v>
      </c>
      <c r="B128" s="2"/>
      <c r="C128" s="3"/>
      <c r="D128" s="3"/>
      <c r="E128" s="2"/>
      <c r="F128" s="2"/>
      <c r="G128" s="11"/>
    </row>
    <row r="129" spans="1:7" ht="15.75" customHeight="1" x14ac:dyDescent="0.35">
      <c r="A129" s="5">
        <v>127</v>
      </c>
      <c r="B129" s="5"/>
      <c r="C129" s="6"/>
      <c r="D129" s="6"/>
      <c r="E129" s="5"/>
      <c r="F129" s="5"/>
      <c r="G129" s="10"/>
    </row>
    <row r="130" spans="1:7" ht="15.75" customHeight="1" x14ac:dyDescent="0.35">
      <c r="A130" s="2">
        <v>128</v>
      </c>
      <c r="B130" s="2"/>
      <c r="C130" s="3"/>
      <c r="D130" s="3"/>
      <c r="E130" s="2"/>
      <c r="F130" s="2"/>
      <c r="G130" s="11"/>
    </row>
    <row r="131" spans="1:7" ht="15.75" customHeight="1" x14ac:dyDescent="0.35">
      <c r="A131" s="5">
        <v>129</v>
      </c>
      <c r="B131" s="5"/>
      <c r="C131" s="6"/>
      <c r="D131" s="6"/>
      <c r="E131" s="5"/>
      <c r="F131" s="5"/>
      <c r="G131" s="10"/>
    </row>
    <row r="132" spans="1:7" ht="15.75" customHeight="1" x14ac:dyDescent="0.35">
      <c r="A132" s="2">
        <v>130</v>
      </c>
      <c r="B132" s="2"/>
      <c r="C132" s="3"/>
      <c r="D132" s="3"/>
      <c r="E132" s="2"/>
      <c r="F132" s="2"/>
      <c r="G132" s="11"/>
    </row>
    <row r="133" spans="1:7" ht="15.75" customHeight="1" x14ac:dyDescent="0.35">
      <c r="A133" s="5">
        <v>131</v>
      </c>
      <c r="B133" s="5"/>
      <c r="C133" s="6"/>
      <c r="D133" s="6"/>
      <c r="E133" s="5"/>
      <c r="F133" s="5"/>
      <c r="G133" s="10"/>
    </row>
    <row r="134" spans="1:7" ht="15.75" customHeight="1" x14ac:dyDescent="0.35">
      <c r="A134" s="2">
        <v>132</v>
      </c>
      <c r="B134" s="2"/>
      <c r="C134" s="3"/>
      <c r="D134" s="3"/>
      <c r="E134" s="2"/>
      <c r="F134" s="2"/>
      <c r="G134" s="11"/>
    </row>
    <row r="135" spans="1:7" ht="15.75" customHeight="1" x14ac:dyDescent="0.35">
      <c r="A135" s="5">
        <v>133</v>
      </c>
      <c r="B135" s="5"/>
      <c r="C135" s="6"/>
      <c r="D135" s="6"/>
      <c r="E135" s="5"/>
      <c r="F135" s="5"/>
      <c r="G135" s="10"/>
    </row>
    <row r="136" spans="1:7" ht="15.75" customHeight="1" x14ac:dyDescent="0.35">
      <c r="A136" s="2">
        <v>134</v>
      </c>
      <c r="B136" s="2"/>
      <c r="C136" s="3"/>
      <c r="D136" s="3"/>
      <c r="E136" s="2"/>
      <c r="F136" s="2"/>
      <c r="G136" s="11"/>
    </row>
    <row r="137" spans="1:7" ht="15.75" customHeight="1" x14ac:dyDescent="0.35">
      <c r="A137" s="5">
        <v>135</v>
      </c>
      <c r="B137" s="5"/>
      <c r="C137" s="6"/>
      <c r="D137" s="6"/>
      <c r="E137" s="5"/>
      <c r="F137" s="5"/>
      <c r="G137" s="10"/>
    </row>
    <row r="138" spans="1:7" ht="15.75" customHeight="1" x14ac:dyDescent="0.35">
      <c r="A138" s="2">
        <v>136</v>
      </c>
      <c r="B138" s="2"/>
      <c r="C138" s="3"/>
      <c r="D138" s="3"/>
      <c r="E138" s="2"/>
      <c r="F138" s="2"/>
      <c r="G138" s="11"/>
    </row>
    <row r="139" spans="1:7" ht="15.75" customHeight="1" x14ac:dyDescent="0.35">
      <c r="A139" s="5">
        <v>137</v>
      </c>
      <c r="B139" s="5"/>
      <c r="C139" s="6"/>
      <c r="D139" s="6"/>
      <c r="E139" s="5"/>
      <c r="F139" s="5"/>
      <c r="G139" s="10"/>
    </row>
    <row r="140" spans="1:7" ht="15.75" customHeight="1" x14ac:dyDescent="0.35">
      <c r="A140" s="2">
        <v>138</v>
      </c>
      <c r="B140" s="2"/>
      <c r="C140" s="3"/>
      <c r="D140" s="3"/>
      <c r="E140" s="2"/>
      <c r="F140" s="2"/>
      <c r="G140" s="11"/>
    </row>
    <row r="141" spans="1:7" ht="15.75" customHeight="1" x14ac:dyDescent="0.35">
      <c r="A141" s="5">
        <v>139</v>
      </c>
      <c r="B141" s="5"/>
      <c r="C141" s="6"/>
      <c r="D141" s="6"/>
      <c r="E141" s="5"/>
      <c r="F141" s="5"/>
      <c r="G141" s="10"/>
    </row>
    <row r="142" spans="1:7" ht="15.75" customHeight="1" x14ac:dyDescent="0.35">
      <c r="A142" s="2">
        <v>140</v>
      </c>
      <c r="B142" s="2"/>
      <c r="C142" s="3"/>
      <c r="D142" s="3"/>
      <c r="E142" s="2"/>
      <c r="F142" s="2"/>
      <c r="G142" s="11"/>
    </row>
    <row r="143" spans="1:7" ht="15.75" customHeight="1" x14ac:dyDescent="0.35">
      <c r="A143" s="5">
        <v>141</v>
      </c>
      <c r="B143" s="5"/>
      <c r="C143" s="6"/>
      <c r="D143" s="6"/>
      <c r="E143" s="5"/>
      <c r="F143" s="5"/>
      <c r="G143" s="10"/>
    </row>
    <row r="144" spans="1:7" ht="15.75" customHeight="1" x14ac:dyDescent="0.35">
      <c r="A144" s="2">
        <v>142</v>
      </c>
      <c r="B144" s="2"/>
      <c r="C144" s="3"/>
      <c r="D144" s="3"/>
      <c r="E144" s="2"/>
      <c r="F144" s="2"/>
      <c r="G144" s="11"/>
    </row>
    <row r="145" spans="1:7" ht="15.75" customHeight="1" x14ac:dyDescent="0.35">
      <c r="A145" s="5">
        <v>143</v>
      </c>
      <c r="B145" s="5"/>
      <c r="C145" s="6"/>
      <c r="D145" s="6"/>
      <c r="E145" s="5"/>
      <c r="F145" s="5"/>
      <c r="G145" s="10"/>
    </row>
    <row r="146" spans="1:7" ht="15.75" customHeight="1" x14ac:dyDescent="0.35">
      <c r="A146" s="2">
        <v>144</v>
      </c>
      <c r="B146" s="2"/>
      <c r="C146" s="3"/>
      <c r="D146" s="3"/>
      <c r="E146" s="2"/>
      <c r="F146" s="2"/>
      <c r="G146" s="11"/>
    </row>
    <row r="147" spans="1:7" ht="15.75" customHeight="1" x14ac:dyDescent="0.35">
      <c r="A147" s="5">
        <v>145</v>
      </c>
      <c r="B147" s="5"/>
      <c r="C147" s="6"/>
      <c r="D147" s="6"/>
      <c r="E147" s="5"/>
      <c r="F147" s="5"/>
      <c r="G147" s="10"/>
    </row>
    <row r="148" spans="1:7" ht="15.75" customHeight="1" x14ac:dyDescent="0.35">
      <c r="A148" s="2">
        <v>146</v>
      </c>
      <c r="B148" s="2"/>
      <c r="C148" s="3"/>
      <c r="D148" s="3"/>
      <c r="E148" s="2"/>
      <c r="F148" s="2"/>
      <c r="G148" s="11"/>
    </row>
    <row r="149" spans="1:7" ht="15.75" customHeight="1" x14ac:dyDescent="0.35">
      <c r="A149" s="5">
        <v>147</v>
      </c>
      <c r="B149" s="5"/>
      <c r="C149" s="6"/>
      <c r="D149" s="6"/>
      <c r="E149" s="5"/>
      <c r="F149" s="5"/>
      <c r="G149" s="10"/>
    </row>
    <row r="150" spans="1:7" ht="15.75" customHeight="1" x14ac:dyDescent="0.35">
      <c r="A150" s="2">
        <v>148</v>
      </c>
      <c r="B150" s="2"/>
      <c r="C150" s="3"/>
      <c r="D150" s="3"/>
      <c r="E150" s="2"/>
      <c r="F150" s="2"/>
      <c r="G150" s="11"/>
    </row>
    <row r="151" spans="1:7" ht="15.75" customHeight="1" x14ac:dyDescent="0.35">
      <c r="A151" s="5">
        <v>149</v>
      </c>
      <c r="B151" s="5"/>
      <c r="C151" s="6"/>
      <c r="D151" s="6"/>
      <c r="E151" s="5"/>
      <c r="F151" s="5"/>
      <c r="G151" s="10"/>
    </row>
    <row r="152" spans="1:7" ht="15.75" customHeight="1" x14ac:dyDescent="0.35">
      <c r="A152" s="2">
        <v>150</v>
      </c>
      <c r="B152" s="2"/>
      <c r="C152" s="3"/>
      <c r="D152" s="3"/>
      <c r="E152" s="2"/>
      <c r="F152" s="2"/>
      <c r="G152" s="11"/>
    </row>
    <row r="153" spans="1:7" ht="15.75" customHeight="1" x14ac:dyDescent="0.35">
      <c r="A153" s="5">
        <v>151</v>
      </c>
      <c r="B153" s="5"/>
      <c r="C153" s="6"/>
      <c r="D153" s="6"/>
      <c r="E153" s="5"/>
      <c r="F153" s="5"/>
      <c r="G153" s="10"/>
    </row>
    <row r="154" spans="1:7" ht="15.75" customHeight="1" x14ac:dyDescent="0.35">
      <c r="A154" s="2">
        <v>152</v>
      </c>
      <c r="B154" s="2"/>
      <c r="C154" s="3"/>
      <c r="D154" s="3"/>
      <c r="E154" s="2"/>
      <c r="F154" s="2"/>
      <c r="G154" s="11"/>
    </row>
    <row r="155" spans="1:7" ht="15.75" customHeight="1" x14ac:dyDescent="0.35">
      <c r="A155" s="5">
        <v>153</v>
      </c>
      <c r="B155" s="5"/>
      <c r="C155" s="6"/>
      <c r="D155" s="6"/>
      <c r="E155" s="5"/>
      <c r="F155" s="5"/>
      <c r="G155" s="10"/>
    </row>
    <row r="156" spans="1:7" ht="15.75" customHeight="1" x14ac:dyDescent="0.35">
      <c r="A156" s="2">
        <v>154</v>
      </c>
      <c r="B156" s="2"/>
      <c r="C156" s="3"/>
      <c r="D156" s="3"/>
      <c r="E156" s="2"/>
      <c r="F156" s="2"/>
      <c r="G156" s="11"/>
    </row>
    <row r="157" spans="1:7" ht="15.75" customHeight="1" x14ac:dyDescent="0.35">
      <c r="A157" s="5">
        <v>155</v>
      </c>
      <c r="B157" s="5"/>
      <c r="C157" s="6"/>
      <c r="D157" s="6"/>
      <c r="E157" s="5"/>
      <c r="F157" s="5"/>
      <c r="G157" s="10"/>
    </row>
    <row r="158" spans="1:7" ht="15.75" customHeight="1" x14ac:dyDescent="0.35">
      <c r="A158" s="2">
        <v>156</v>
      </c>
      <c r="B158" s="2"/>
      <c r="C158" s="3"/>
      <c r="D158" s="3"/>
      <c r="E158" s="2"/>
      <c r="F158" s="2"/>
      <c r="G158" s="11"/>
    </row>
    <row r="159" spans="1:7" ht="15.75" customHeight="1" x14ac:dyDescent="0.35">
      <c r="A159" s="5">
        <v>157</v>
      </c>
      <c r="B159" s="5"/>
      <c r="C159" s="6"/>
      <c r="D159" s="6"/>
      <c r="E159" s="5"/>
      <c r="F159" s="5"/>
      <c r="G159" s="10"/>
    </row>
    <row r="160" spans="1:7" ht="15.75" customHeight="1" x14ac:dyDescent="0.35">
      <c r="A160" s="2">
        <v>158</v>
      </c>
      <c r="B160" s="2"/>
      <c r="C160" s="3"/>
      <c r="D160" s="3"/>
      <c r="E160" s="2"/>
      <c r="F160" s="2"/>
      <c r="G160" s="11"/>
    </row>
    <row r="161" spans="1:7" ht="15.75" customHeight="1" x14ac:dyDescent="0.35">
      <c r="A161" s="5">
        <v>159</v>
      </c>
      <c r="B161" s="5"/>
      <c r="C161" s="6"/>
      <c r="D161" s="6"/>
      <c r="E161" s="5"/>
      <c r="F161" s="5"/>
      <c r="G161" s="10"/>
    </row>
    <row r="162" spans="1:7" ht="15.75" customHeight="1" x14ac:dyDescent="0.35">
      <c r="A162" s="2">
        <v>160</v>
      </c>
      <c r="B162" s="2"/>
      <c r="C162" s="3"/>
      <c r="D162" s="3"/>
      <c r="E162" s="2"/>
      <c r="F162" s="2"/>
      <c r="G162" s="11"/>
    </row>
    <row r="163" spans="1:7" ht="15.75" customHeight="1" x14ac:dyDescent="0.35">
      <c r="A163" s="5">
        <v>161</v>
      </c>
      <c r="B163" s="5"/>
      <c r="C163" s="6"/>
      <c r="D163" s="6"/>
      <c r="E163" s="5"/>
      <c r="F163" s="5"/>
      <c r="G163" s="10"/>
    </row>
    <row r="164" spans="1:7" ht="15.75" customHeight="1" x14ac:dyDescent="0.35">
      <c r="A164" s="2">
        <v>162</v>
      </c>
      <c r="B164" s="2"/>
      <c r="C164" s="3"/>
      <c r="D164" s="3"/>
      <c r="E164" s="2"/>
      <c r="F164" s="2"/>
      <c r="G164" s="11"/>
    </row>
    <row r="165" spans="1:7" ht="15.75" customHeight="1" x14ac:dyDescent="0.35">
      <c r="A165" s="5">
        <v>163</v>
      </c>
      <c r="B165" s="5"/>
      <c r="C165" s="6"/>
      <c r="D165" s="6"/>
      <c r="E165" s="5"/>
      <c r="F165" s="5"/>
      <c r="G165" s="10"/>
    </row>
    <row r="166" spans="1:7" ht="15.75" customHeight="1" x14ac:dyDescent="0.35">
      <c r="A166" s="2">
        <v>164</v>
      </c>
      <c r="B166" s="2"/>
      <c r="C166" s="3"/>
      <c r="D166" s="3"/>
      <c r="E166" s="2"/>
      <c r="F166" s="2"/>
      <c r="G166" s="11"/>
    </row>
    <row r="167" spans="1:7" ht="15.75" customHeight="1" x14ac:dyDescent="0.35">
      <c r="A167" s="5">
        <v>165</v>
      </c>
      <c r="B167" s="5"/>
      <c r="C167" s="6"/>
      <c r="D167" s="6"/>
      <c r="E167" s="5"/>
      <c r="F167" s="5"/>
      <c r="G167" s="10"/>
    </row>
    <row r="168" spans="1:7" ht="15.75" customHeight="1" x14ac:dyDescent="0.35">
      <c r="A168" s="2">
        <v>166</v>
      </c>
      <c r="B168" s="2"/>
      <c r="C168" s="3"/>
      <c r="D168" s="3"/>
      <c r="E168" s="2"/>
      <c r="F168" s="2"/>
      <c r="G168" s="11"/>
    </row>
    <row r="169" spans="1:7" ht="15.75" customHeight="1" x14ac:dyDescent="0.35">
      <c r="A169" s="5">
        <v>167</v>
      </c>
      <c r="B169" s="5"/>
      <c r="C169" s="6"/>
      <c r="D169" s="6"/>
      <c r="E169" s="5"/>
      <c r="F169" s="5"/>
      <c r="G169" s="10"/>
    </row>
    <row r="170" spans="1:7" ht="15.75" customHeight="1" x14ac:dyDescent="0.35">
      <c r="A170" s="2">
        <v>168</v>
      </c>
      <c r="B170" s="2"/>
      <c r="C170" s="3"/>
      <c r="D170" s="3"/>
      <c r="E170" s="2"/>
      <c r="F170" s="2"/>
      <c r="G170" s="11"/>
    </row>
    <row r="171" spans="1:7" ht="15.75" customHeight="1" x14ac:dyDescent="0.35">
      <c r="A171" s="5">
        <v>169</v>
      </c>
      <c r="B171" s="5"/>
      <c r="C171" s="6"/>
      <c r="D171" s="6"/>
      <c r="E171" s="5"/>
      <c r="F171" s="5"/>
      <c r="G171" s="10"/>
    </row>
    <row r="172" spans="1:7" ht="15.75" customHeight="1" x14ac:dyDescent="0.35">
      <c r="A172" s="2">
        <v>170</v>
      </c>
      <c r="B172" s="2"/>
      <c r="C172" s="3"/>
      <c r="D172" s="3"/>
      <c r="E172" s="2"/>
      <c r="F172" s="2"/>
      <c r="G172" s="11"/>
    </row>
    <row r="173" spans="1:7" ht="15.75" customHeight="1" x14ac:dyDescent="0.35">
      <c r="A173" s="5">
        <v>171</v>
      </c>
      <c r="B173" s="5"/>
      <c r="C173" s="6"/>
      <c r="D173" s="6"/>
      <c r="E173" s="5"/>
      <c r="F173" s="5"/>
      <c r="G173" s="10"/>
    </row>
    <row r="174" spans="1:7" ht="15.75" customHeight="1" x14ac:dyDescent="0.35">
      <c r="A174" s="2">
        <v>172</v>
      </c>
      <c r="B174" s="2"/>
      <c r="C174" s="3"/>
      <c r="D174" s="3"/>
      <c r="E174" s="2"/>
      <c r="F174" s="2"/>
      <c r="G174" s="11"/>
    </row>
    <row r="175" spans="1:7" ht="15.75" customHeight="1" x14ac:dyDescent="0.35">
      <c r="A175" s="5">
        <v>173</v>
      </c>
      <c r="B175" s="5"/>
      <c r="C175" s="6"/>
      <c r="D175" s="6"/>
      <c r="E175" s="5"/>
      <c r="F175" s="5"/>
      <c r="G175" s="10"/>
    </row>
    <row r="176" spans="1:7" ht="15.75" customHeight="1" x14ac:dyDescent="0.35">
      <c r="A176" s="2">
        <v>174</v>
      </c>
      <c r="B176" s="2"/>
      <c r="C176" s="3"/>
      <c r="D176" s="3"/>
      <c r="E176" s="2"/>
      <c r="F176" s="2"/>
      <c r="G176" s="11"/>
    </row>
    <row r="177" spans="1:7" ht="15.75" customHeight="1" x14ac:dyDescent="0.35">
      <c r="A177" s="5">
        <v>175</v>
      </c>
      <c r="B177" s="5"/>
      <c r="C177" s="6"/>
      <c r="D177" s="6"/>
      <c r="E177" s="5"/>
      <c r="F177" s="5"/>
      <c r="G177" s="10"/>
    </row>
    <row r="178" spans="1:7" ht="15.75" customHeight="1" x14ac:dyDescent="0.35">
      <c r="A178" s="2">
        <v>176</v>
      </c>
      <c r="B178" s="2"/>
      <c r="C178" s="3"/>
      <c r="D178" s="3"/>
      <c r="E178" s="2"/>
      <c r="F178" s="2"/>
      <c r="G178" s="11"/>
    </row>
    <row r="179" spans="1:7" ht="15.75" customHeight="1" x14ac:dyDescent="0.35">
      <c r="A179" s="5">
        <v>177</v>
      </c>
      <c r="B179" s="5"/>
      <c r="C179" s="6"/>
      <c r="D179" s="6"/>
      <c r="E179" s="5"/>
      <c r="F179" s="5"/>
      <c r="G179" s="10"/>
    </row>
    <row r="180" spans="1:7" ht="15.75" customHeight="1" x14ac:dyDescent="0.35">
      <c r="A180" s="2">
        <v>178</v>
      </c>
      <c r="B180" s="2"/>
      <c r="C180" s="3"/>
      <c r="D180" s="3"/>
      <c r="E180" s="2"/>
      <c r="F180" s="2"/>
      <c r="G180" s="11"/>
    </row>
    <row r="181" spans="1:7" ht="15.75" customHeight="1" x14ac:dyDescent="0.35">
      <c r="A181" s="5">
        <v>179</v>
      </c>
      <c r="B181" s="5"/>
      <c r="C181" s="6"/>
      <c r="D181" s="6"/>
      <c r="E181" s="5"/>
      <c r="F181" s="5"/>
      <c r="G181" s="10"/>
    </row>
    <row r="182" spans="1:7" ht="15.75" customHeight="1" x14ac:dyDescent="0.35">
      <c r="A182" s="2">
        <v>180</v>
      </c>
      <c r="B182" s="2"/>
      <c r="C182" s="3"/>
      <c r="D182" s="3"/>
      <c r="E182" s="2"/>
      <c r="F182" s="2"/>
      <c r="G182" s="11"/>
    </row>
    <row r="183" spans="1:7" ht="15.75" customHeight="1" x14ac:dyDescent="0.35">
      <c r="A183" s="5">
        <v>181</v>
      </c>
      <c r="B183" s="5"/>
      <c r="C183" s="6"/>
      <c r="D183" s="6"/>
      <c r="E183" s="5"/>
      <c r="F183" s="5"/>
      <c r="G183" s="10"/>
    </row>
    <row r="184" spans="1:7" ht="15.75" customHeight="1" x14ac:dyDescent="0.35">
      <c r="A184" s="2">
        <v>182</v>
      </c>
      <c r="B184" s="2"/>
      <c r="C184" s="3"/>
      <c r="D184" s="3"/>
      <c r="E184" s="2"/>
      <c r="F184" s="2"/>
      <c r="G184" s="11"/>
    </row>
    <row r="185" spans="1:7" ht="15.75" customHeight="1" x14ac:dyDescent="0.35">
      <c r="A185" s="5">
        <v>183</v>
      </c>
      <c r="B185" s="5"/>
      <c r="C185" s="6"/>
      <c r="D185" s="6"/>
      <c r="E185" s="5"/>
      <c r="F185" s="5"/>
      <c r="G185" s="10"/>
    </row>
    <row r="186" spans="1:7" ht="15.75" customHeight="1" x14ac:dyDescent="0.35">
      <c r="A186" s="2">
        <v>184</v>
      </c>
      <c r="B186" s="2"/>
      <c r="C186" s="3"/>
      <c r="D186" s="3"/>
      <c r="E186" s="2"/>
      <c r="F186" s="2"/>
      <c r="G186" s="11"/>
    </row>
    <row r="187" spans="1:7" ht="15.75" customHeight="1" x14ac:dyDescent="0.35">
      <c r="A187" s="5">
        <v>185</v>
      </c>
      <c r="B187" s="5"/>
      <c r="C187" s="6"/>
      <c r="D187" s="6"/>
      <c r="E187" s="5"/>
      <c r="F187" s="5"/>
      <c r="G187" s="10"/>
    </row>
    <row r="188" spans="1:7" ht="15.75" customHeight="1" x14ac:dyDescent="0.35">
      <c r="A188" s="2">
        <v>186</v>
      </c>
      <c r="B188" s="2"/>
      <c r="C188" s="3"/>
      <c r="D188" s="3"/>
      <c r="E188" s="2"/>
      <c r="F188" s="2"/>
      <c r="G188" s="11"/>
    </row>
    <row r="189" spans="1:7" ht="15.75" customHeight="1" x14ac:dyDescent="0.35">
      <c r="A189" s="5">
        <v>187</v>
      </c>
      <c r="B189" s="5"/>
      <c r="C189" s="6"/>
      <c r="D189" s="6"/>
      <c r="E189" s="5"/>
      <c r="F189" s="5"/>
      <c r="G189" s="10"/>
    </row>
    <row r="190" spans="1:7" ht="15.75" customHeight="1" x14ac:dyDescent="0.35">
      <c r="A190" s="2">
        <v>188</v>
      </c>
      <c r="B190" s="2"/>
      <c r="C190" s="3"/>
      <c r="D190" s="3"/>
      <c r="E190" s="2"/>
      <c r="F190" s="2"/>
      <c r="G190" s="11"/>
    </row>
    <row r="191" spans="1:7" ht="15.75" customHeight="1" x14ac:dyDescent="0.35">
      <c r="A191" s="5">
        <v>189</v>
      </c>
      <c r="B191" s="5"/>
      <c r="C191" s="6"/>
      <c r="D191" s="6"/>
      <c r="E191" s="5"/>
      <c r="F191" s="5"/>
      <c r="G191" s="10"/>
    </row>
    <row r="192" spans="1:7" ht="15.75" customHeight="1" x14ac:dyDescent="0.35">
      <c r="A192" s="2">
        <v>190</v>
      </c>
      <c r="B192" s="2"/>
      <c r="C192" s="3"/>
      <c r="D192" s="3"/>
      <c r="E192" s="2"/>
      <c r="F192" s="2"/>
      <c r="G192" s="11"/>
    </row>
    <row r="193" spans="1:7" ht="15.75" customHeight="1" x14ac:dyDescent="0.35">
      <c r="A193" s="5">
        <v>191</v>
      </c>
      <c r="B193" s="5"/>
      <c r="C193" s="6"/>
      <c r="D193" s="6"/>
      <c r="E193" s="5"/>
      <c r="F193" s="5"/>
      <c r="G193" s="10"/>
    </row>
    <row r="194" spans="1:7" ht="15.75" customHeight="1" x14ac:dyDescent="0.35">
      <c r="A194" s="2">
        <v>192</v>
      </c>
      <c r="B194" s="2"/>
      <c r="C194" s="3"/>
      <c r="D194" s="3"/>
      <c r="E194" s="2"/>
      <c r="F194" s="2"/>
      <c r="G194" s="11"/>
    </row>
    <row r="195" spans="1:7" ht="15.75" customHeight="1" x14ac:dyDescent="0.35">
      <c r="A195" s="5">
        <v>193</v>
      </c>
      <c r="B195" s="5"/>
      <c r="C195" s="6"/>
      <c r="D195" s="6"/>
      <c r="E195" s="5"/>
      <c r="F195" s="5"/>
      <c r="G195" s="10"/>
    </row>
    <row r="196" spans="1:7" ht="15.75" customHeight="1" x14ac:dyDescent="0.35">
      <c r="A196" s="2">
        <v>194</v>
      </c>
      <c r="B196" s="2"/>
      <c r="C196" s="3"/>
      <c r="D196" s="3"/>
      <c r="E196" s="2"/>
      <c r="F196" s="2"/>
      <c r="G196" s="11"/>
    </row>
    <row r="197" spans="1:7" ht="15.75" customHeight="1" x14ac:dyDescent="0.35">
      <c r="A197" s="5">
        <v>195</v>
      </c>
      <c r="B197" s="5"/>
      <c r="C197" s="6"/>
      <c r="D197" s="6"/>
      <c r="E197" s="5"/>
      <c r="F197" s="5"/>
      <c r="G197" s="10"/>
    </row>
    <row r="198" spans="1:7" ht="15.75" customHeight="1" x14ac:dyDescent="0.35">
      <c r="A198" s="2">
        <v>196</v>
      </c>
      <c r="B198" s="2"/>
      <c r="C198" s="3"/>
      <c r="D198" s="3"/>
      <c r="E198" s="2"/>
      <c r="F198" s="2"/>
      <c r="G198" s="11"/>
    </row>
    <row r="199" spans="1:7" ht="15.75" customHeight="1" x14ac:dyDescent="0.35">
      <c r="A199" s="5">
        <v>197</v>
      </c>
      <c r="B199" s="5"/>
      <c r="C199" s="6"/>
      <c r="D199" s="6"/>
      <c r="E199" s="5"/>
      <c r="F199" s="5"/>
      <c r="G199" s="10"/>
    </row>
    <row r="200" spans="1:7" ht="15.75" customHeight="1" x14ac:dyDescent="0.35">
      <c r="A200" s="2">
        <v>198</v>
      </c>
      <c r="B200" s="2"/>
      <c r="C200" s="3"/>
      <c r="D200" s="3"/>
      <c r="E200" s="2"/>
      <c r="F200" s="2"/>
      <c r="G200" s="11"/>
    </row>
    <row r="201" spans="1:7" ht="15.75" customHeight="1" x14ac:dyDescent="0.35">
      <c r="A201" s="5">
        <v>199</v>
      </c>
      <c r="B201" s="5"/>
      <c r="C201" s="6"/>
      <c r="D201" s="6"/>
      <c r="E201" s="5"/>
      <c r="F201" s="5"/>
      <c r="G201" s="10"/>
    </row>
    <row r="202" spans="1:7" ht="15.75" customHeight="1" x14ac:dyDescent="0.35">
      <c r="A202" s="2">
        <v>200</v>
      </c>
      <c r="B202" s="2"/>
      <c r="C202" s="3"/>
      <c r="D202" s="3"/>
      <c r="E202" s="2"/>
      <c r="F202" s="2"/>
      <c r="G202" s="11"/>
    </row>
    <row r="203" spans="1:7" ht="21.75" customHeight="1" x14ac:dyDescent="0.35">
      <c r="A203" s="79" t="s">
        <v>127</v>
      </c>
      <c r="B203" s="61"/>
      <c r="C203" s="61"/>
      <c r="D203" s="61"/>
      <c r="E203" s="61"/>
      <c r="F203" s="61"/>
      <c r="G203" s="12">
        <f>SUM(G3:G202)</f>
        <v>8600</v>
      </c>
    </row>
  </sheetData>
  <mergeCells count="2">
    <mergeCell ref="A203:F203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AD47"/>
  </sheetPr>
  <dimension ref="A1:F30"/>
  <sheetViews>
    <sheetView showGridLines="0" tabSelected="1" workbookViewId="0">
      <selection activeCell="F4" sqref="F4"/>
    </sheetView>
  </sheetViews>
  <sheetFormatPr defaultColWidth="8.7265625" defaultRowHeight="14.5" x14ac:dyDescent="0.35"/>
  <cols>
    <col min="1" max="1" width="5" customWidth="1"/>
    <col min="2" max="2" width="34" customWidth="1"/>
    <col min="3" max="3" width="40" customWidth="1"/>
    <col min="4" max="5" width="18" customWidth="1"/>
    <col min="6" max="6" width="22" customWidth="1"/>
  </cols>
  <sheetData>
    <row r="1" spans="1:6" ht="30" customHeight="1" x14ac:dyDescent="0.35">
      <c r="A1" s="51" t="s">
        <v>128</v>
      </c>
      <c r="B1" s="44"/>
      <c r="C1" s="44"/>
      <c r="D1" s="44"/>
      <c r="E1" s="44"/>
    </row>
    <row r="2" spans="1:6" ht="18" customHeight="1" x14ac:dyDescent="0.35">
      <c r="A2" s="80" t="s">
        <v>129</v>
      </c>
      <c r="B2" s="44"/>
      <c r="C2" s="44"/>
      <c r="D2" s="44"/>
      <c r="E2" s="44"/>
    </row>
    <row r="3" spans="1:6" ht="25.5" customHeight="1" x14ac:dyDescent="0.35">
      <c r="A3" s="34" t="s">
        <v>43</v>
      </c>
      <c r="B3" s="34" t="s">
        <v>44</v>
      </c>
      <c r="C3" s="34" t="s">
        <v>45</v>
      </c>
      <c r="D3" s="34" t="s">
        <v>46</v>
      </c>
      <c r="E3" s="34" t="s">
        <v>130</v>
      </c>
      <c r="F3" s="35" t="s">
        <v>131</v>
      </c>
    </row>
    <row r="4" spans="1:6" ht="18" customHeight="1" x14ac:dyDescent="0.35">
      <c r="A4" s="2">
        <v>1</v>
      </c>
      <c r="B4" s="13" t="str">
        <f>'CUSTOMER REGISTER'!B3</f>
        <v>MODEL TANNERS</v>
      </c>
      <c r="C4" s="14" t="str">
        <f>IFERROR(VLOOKUP(B4,'CUSTOMER REGISTER'!B:C,2,0),"")</f>
        <v>Industrial Area, Banthar</v>
      </c>
      <c r="D4" s="2" t="str">
        <f>IFERROR(VLOOKUP(B4,'CUSTOMER REGISTER'!B:D,3,0),"")</f>
        <v>6306805026</v>
      </c>
      <c r="E4" s="15">
        <f>SUMIF('SALES REGISTER'!C:C,B4,'SALES REGISTER'!G:G)</f>
        <v>8600</v>
      </c>
      <c r="F4" s="42" t="str">
        <f t="shared" ref="F4:F30" si="0">IF(B4&lt;&gt;"","(run macro to activate)","")</f>
        <v>(run macro to activate)</v>
      </c>
    </row>
    <row r="5" spans="1:6" ht="18" customHeight="1" x14ac:dyDescent="0.35">
      <c r="A5" s="5">
        <v>2</v>
      </c>
      <c r="B5" s="16" t="str">
        <f>'CUSTOMER REGISTER'!B4</f>
        <v>UNIQUE INTERNATIONAL</v>
      </c>
      <c r="C5" s="17" t="str">
        <f>IFERROR(VLOOKUP(B5,'CUSTOMER REGISTER'!B:C,2,0),"")</f>
        <v>Jajmau, Kanpur</v>
      </c>
      <c r="D5" s="5" t="str">
        <f>IFERROR(VLOOKUP(B5,'CUSTOMER REGISTER'!B:D,3,0),"")</f>
        <v>9415125327</v>
      </c>
      <c r="E5" s="18">
        <f>SUMIF('SALES REGISTER'!C:C,B5,'SALES REGISTER'!G:G)</f>
        <v>0</v>
      </c>
      <c r="F5" s="36" t="str">
        <f t="shared" si="0"/>
        <v>(run macro to activate)</v>
      </c>
    </row>
    <row r="6" spans="1:6" ht="18" customHeight="1" x14ac:dyDescent="0.35">
      <c r="A6" s="2">
        <v>3</v>
      </c>
      <c r="B6" s="13" t="str">
        <f>'CUSTOMER REGISTER'!B5</f>
        <v>NORTHERN LEATHER PRODUCTS</v>
      </c>
      <c r="C6" s="14" t="str">
        <f>IFERROR(VLOOKUP(B6,'CUSTOMER REGISTER'!B:C,2,0),"")</f>
        <v>Jajmau, Kanpur</v>
      </c>
      <c r="D6" s="2" t="str">
        <f>IFERROR(VLOOKUP(B6,'CUSTOMER REGISTER'!B:D,3,0),"")</f>
        <v>9839068127</v>
      </c>
      <c r="E6" s="15">
        <f>SUMIF('SALES REGISTER'!C:C,B6,'SALES REGISTER'!G:G)</f>
        <v>0</v>
      </c>
      <c r="F6" s="36" t="str">
        <f t="shared" si="0"/>
        <v>(run macro to activate)</v>
      </c>
    </row>
    <row r="7" spans="1:6" ht="18" customHeight="1" x14ac:dyDescent="0.35">
      <c r="A7" s="5">
        <v>4</v>
      </c>
      <c r="B7" s="16" t="str">
        <f>'CUSTOMER REGISTER'!B6</f>
        <v>ALEENA EXIM</v>
      </c>
      <c r="C7" s="17" t="str">
        <f>IFERROR(VLOOKUP(B7,'CUSTOMER REGISTER'!B:C,2,0),"")</f>
        <v>Jajmau, Kanpur</v>
      </c>
      <c r="D7" s="5" t="str">
        <f>IFERROR(VLOOKUP(B7,'CUSTOMER REGISTER'!B:D,3,0),"")</f>
        <v>9415042758</v>
      </c>
      <c r="E7" s="18">
        <f>SUMIF('SALES REGISTER'!C:C,B7,'SALES REGISTER'!G:G)</f>
        <v>0</v>
      </c>
      <c r="F7" s="36" t="str">
        <f t="shared" si="0"/>
        <v>(run macro to activate)</v>
      </c>
    </row>
    <row r="8" spans="1:6" ht="18" customHeight="1" x14ac:dyDescent="0.35">
      <c r="A8" s="2">
        <v>5</v>
      </c>
      <c r="B8" s="13" t="str">
        <f>'CUSTOMER REGISTER'!B7</f>
        <v>ACE EXPORT</v>
      </c>
      <c r="C8" s="14" t="str">
        <f>IFERROR(VLOOKUP(B8,'CUSTOMER REGISTER'!B:C,2,0),"")</f>
        <v>Ind. Area, Unnao</v>
      </c>
      <c r="D8" s="2" t="str">
        <f>IFERROR(VLOOKUP(B8,'CUSTOMER REGISTER'!B:D,3,0),"")</f>
        <v>9956244877</v>
      </c>
      <c r="E8" s="15">
        <f>SUMIF('SALES REGISTER'!C:C,B8,'SALES REGISTER'!G:G)</f>
        <v>0</v>
      </c>
      <c r="F8" s="36" t="str">
        <f t="shared" si="0"/>
        <v>(run macro to activate)</v>
      </c>
    </row>
    <row r="9" spans="1:6" ht="18" customHeight="1" x14ac:dyDescent="0.35">
      <c r="A9" s="5">
        <v>6</v>
      </c>
      <c r="B9" s="16" t="str">
        <f>'CUSTOMER REGISTER'!B8</f>
        <v>ALLIED EXIM</v>
      </c>
      <c r="C9" s="17" t="str">
        <f>IFERROR(VLOOKUP(B9,'CUSTOMER REGISTER'!B:C,2,0),"")</f>
        <v>Jajmau, Kanpur</v>
      </c>
      <c r="D9" s="5" t="str">
        <f>IFERROR(VLOOKUP(B9,'CUSTOMER REGISTER'!B:D,3,0),"")</f>
        <v>9670755206</v>
      </c>
      <c r="E9" s="18">
        <f>SUMIF('SALES REGISTER'!C:C,B9,'SALES REGISTER'!G:G)</f>
        <v>0</v>
      </c>
      <c r="F9" s="36" t="str">
        <f t="shared" si="0"/>
        <v>(run macro to activate)</v>
      </c>
    </row>
    <row r="10" spans="1:6" ht="18" customHeight="1" x14ac:dyDescent="0.35">
      <c r="A10" s="2">
        <v>7</v>
      </c>
      <c r="B10" s="13" t="str">
        <f>'CUSTOMER REGISTER'!B9</f>
        <v>ALLIED LEATHER FINISHER</v>
      </c>
      <c r="C10" s="14" t="str">
        <f>IFERROR(VLOOKUP(B10,'CUSTOMER REGISTER'!B:C,2,0),"")</f>
        <v>Jajmau, Kanpur</v>
      </c>
      <c r="D10" s="2">
        <f>IFERROR(VLOOKUP(B10,'CUSTOMER REGISTER'!B:D,3,0),"")</f>
        <v>0</v>
      </c>
      <c r="E10" s="15">
        <f>SUMIF('SALES REGISTER'!C:C,B10,'SALES REGISTER'!G:G)</f>
        <v>0</v>
      </c>
      <c r="F10" s="36" t="str">
        <f t="shared" si="0"/>
        <v>(run macro to activate)</v>
      </c>
    </row>
    <row r="11" spans="1:6" ht="18" customHeight="1" x14ac:dyDescent="0.35">
      <c r="A11" s="5">
        <v>8</v>
      </c>
      <c r="B11" s="16" t="str">
        <f>'CUSTOMER REGISTER'!B10</f>
        <v>CHARLI SHOES</v>
      </c>
      <c r="C11" s="17" t="str">
        <f>IFERROR(VLOOKUP(B11,'CUSTOMER REGISTER'!B:C,2,0),"")</f>
        <v>Jajmau, Kanpur</v>
      </c>
      <c r="D11" s="5">
        <f>IFERROR(VLOOKUP(B11,'CUSTOMER REGISTER'!B:D,3,0),"")</f>
        <v>0</v>
      </c>
      <c r="E11" s="18">
        <f>SUMIF('SALES REGISTER'!C:C,B11,'SALES REGISTER'!G:G)</f>
        <v>0</v>
      </c>
      <c r="F11" s="36" t="str">
        <f t="shared" si="0"/>
        <v>(run macro to activate)</v>
      </c>
    </row>
    <row r="12" spans="1:6" ht="18" customHeight="1" x14ac:dyDescent="0.35">
      <c r="A12" s="2">
        <v>9</v>
      </c>
      <c r="B12" s="13" t="str">
        <f>'CUSTOMER REGISTER'!B11</f>
        <v>WAMS EXPORT</v>
      </c>
      <c r="C12" s="14" t="str">
        <f>IFERROR(VLOOKUP(B12,'CUSTOMER REGISTER'!B:C,2,0),"")</f>
        <v>Jajmau, Kanpur</v>
      </c>
      <c r="D12" s="2">
        <f>IFERROR(VLOOKUP(B12,'CUSTOMER REGISTER'!B:D,3,0),"")</f>
        <v>0</v>
      </c>
      <c r="E12" s="15">
        <f>SUMIF('SALES REGISTER'!C:C,B12,'SALES REGISTER'!G:G)</f>
        <v>0</v>
      </c>
      <c r="F12" s="36" t="str">
        <f t="shared" si="0"/>
        <v>(run macro to activate)</v>
      </c>
    </row>
    <row r="13" spans="1:6" ht="18" customHeight="1" x14ac:dyDescent="0.35">
      <c r="A13" s="5">
        <v>10</v>
      </c>
      <c r="B13" s="16" t="str">
        <f>'CUSTOMER REGISTER'!B12</f>
        <v>NAAZ EXPORT</v>
      </c>
      <c r="C13" s="17" t="str">
        <f>IFERROR(VLOOKUP(B13,'CUSTOMER REGISTER'!B:C,2,0),"")</f>
        <v>Jajmau, Kanpur</v>
      </c>
      <c r="D13" s="5">
        <f>IFERROR(VLOOKUP(B13,'CUSTOMER REGISTER'!B:D,3,0),"")</f>
        <v>0</v>
      </c>
      <c r="E13" s="18">
        <f>SUMIF('SALES REGISTER'!C:C,B13,'SALES REGISTER'!G:G)</f>
        <v>0</v>
      </c>
      <c r="F13" s="36" t="str">
        <f t="shared" si="0"/>
        <v>(run macro to activate)</v>
      </c>
    </row>
    <row r="14" spans="1:6" ht="18" customHeight="1" x14ac:dyDescent="0.35">
      <c r="A14" s="2">
        <v>11</v>
      </c>
      <c r="B14" s="13" t="str">
        <f>'CUSTOMER REGISTER'!B13</f>
        <v>RISER EXPORT</v>
      </c>
      <c r="C14" s="14" t="str">
        <f>IFERROR(VLOOKUP(B14,'CUSTOMER REGISTER'!B:C,2,0),"")</f>
        <v>Jajmau, Kanpur</v>
      </c>
      <c r="D14" s="2">
        <f>IFERROR(VLOOKUP(B14,'CUSTOMER REGISTER'!B:D,3,0),"")</f>
        <v>0</v>
      </c>
      <c r="E14" s="15">
        <f>SUMIF('SALES REGISTER'!C:C,B14,'SALES REGISTER'!G:G)</f>
        <v>0</v>
      </c>
      <c r="F14" s="36" t="str">
        <f t="shared" si="0"/>
        <v>(run macro to activate)</v>
      </c>
    </row>
    <row r="15" spans="1:6" ht="18" customHeight="1" x14ac:dyDescent="0.35">
      <c r="A15" s="5">
        <v>12</v>
      </c>
      <c r="B15" s="16" t="str">
        <f>'CUSTOMER REGISTER'!B14</f>
        <v>WAMS EXIM</v>
      </c>
      <c r="C15" s="17" t="str">
        <f>IFERROR(VLOOKUP(B15,'CUSTOMER REGISTER'!B:C,2,0),"")</f>
        <v>Jajmau, Kanpur</v>
      </c>
      <c r="D15" s="5">
        <f>IFERROR(VLOOKUP(B15,'CUSTOMER REGISTER'!B:D,3,0),"")</f>
        <v>0</v>
      </c>
      <c r="E15" s="18">
        <f>SUMIF('SALES REGISTER'!C:C,B15,'SALES REGISTER'!G:G)</f>
        <v>0</v>
      </c>
      <c r="F15" s="36" t="str">
        <f t="shared" si="0"/>
        <v>(run macro to activate)</v>
      </c>
    </row>
    <row r="16" spans="1:6" ht="18" customHeight="1" x14ac:dyDescent="0.35">
      <c r="A16" s="2">
        <v>13</v>
      </c>
      <c r="B16" s="13" t="str">
        <f>'CUSTOMER REGISTER'!B15</f>
        <v>NATIONAL EXIM</v>
      </c>
      <c r="C16" s="14" t="str">
        <f>IFERROR(VLOOKUP(B16,'CUSTOMER REGISTER'!B:C,2,0),"")</f>
        <v>Jajmau, Kanpur</v>
      </c>
      <c r="D16" s="2" t="str">
        <f>IFERROR(VLOOKUP(B16,'CUSTOMER REGISTER'!B:D,3,0),"")</f>
        <v>9839050923</v>
      </c>
      <c r="E16" s="15">
        <f>SUMIF('SALES REGISTER'!C:C,B16,'SALES REGISTER'!G:G)</f>
        <v>0</v>
      </c>
      <c r="F16" s="36" t="str">
        <f t="shared" si="0"/>
        <v>(run macro to activate)</v>
      </c>
    </row>
    <row r="17" spans="1:6" ht="18" customHeight="1" x14ac:dyDescent="0.35">
      <c r="A17" s="5">
        <v>14</v>
      </c>
      <c r="B17" s="16" t="str">
        <f>'CUSTOMER REGISTER'!B16</f>
        <v>MODEL ECHOES</v>
      </c>
      <c r="C17" s="17" t="str">
        <f>IFERROR(VLOOKUP(B17,'CUSTOMER REGISTER'!B:C,2,0),"")</f>
        <v>Jajmau, Kanpur</v>
      </c>
      <c r="D17" s="5">
        <f>IFERROR(VLOOKUP(B17,'CUSTOMER REGISTER'!B:D,3,0),"")</f>
        <v>0</v>
      </c>
      <c r="E17" s="18">
        <f>SUMIF('SALES REGISTER'!C:C,B17,'SALES REGISTER'!G:G)</f>
        <v>0</v>
      </c>
      <c r="F17" s="36" t="str">
        <f t="shared" si="0"/>
        <v>(run macro to activate)</v>
      </c>
    </row>
    <row r="18" spans="1:6" ht="18" customHeight="1" x14ac:dyDescent="0.35">
      <c r="A18" s="2">
        <v>15</v>
      </c>
      <c r="B18" s="13" t="str">
        <f>'CUSTOMER REGISTER'!B17</f>
        <v>RUKHS INTERNATIONAL</v>
      </c>
      <c r="C18" s="14" t="str">
        <f>IFERROR(VLOOKUP(B18,'CUSTOMER REGISTER'!B:C,2,0),"")</f>
        <v>Ind. Area, Banthar</v>
      </c>
      <c r="D18" s="2">
        <f>IFERROR(VLOOKUP(B18,'CUSTOMER REGISTER'!B:D,3,0),"")</f>
        <v>0</v>
      </c>
      <c r="E18" s="15">
        <f>SUMIF('SALES REGISTER'!C:C,B18,'SALES REGISTER'!G:G)</f>
        <v>0</v>
      </c>
      <c r="F18" s="36" t="str">
        <f t="shared" si="0"/>
        <v>(run macro to activate)</v>
      </c>
    </row>
    <row r="19" spans="1:6" ht="18" customHeight="1" x14ac:dyDescent="0.35">
      <c r="A19" s="5">
        <v>16</v>
      </c>
      <c r="B19" s="16" t="str">
        <f>'CUSTOMER REGISTER'!B18</f>
        <v>NINEK NANOTECH PVT LTD</v>
      </c>
      <c r="C19" s="17" t="str">
        <f>IFERROR(VLOOKUP(B19,'CUSTOMER REGISTER'!B:C,2,0),"")</f>
        <v>Sheshpur Narhi, Banrher, Unnao</v>
      </c>
      <c r="D19" s="5" t="str">
        <f>IFERROR(VLOOKUP(B19,'CUSTOMER REGISTER'!B:D,3,0),"")</f>
        <v>9918104734</v>
      </c>
      <c r="E19" s="18">
        <f>SUMIF('SALES REGISTER'!C:C,B19,'SALES REGISTER'!G:G)</f>
        <v>0</v>
      </c>
      <c r="F19" s="36" t="str">
        <f t="shared" si="0"/>
        <v>(run macro to activate)</v>
      </c>
    </row>
    <row r="20" spans="1:6" ht="18" customHeight="1" x14ac:dyDescent="0.35">
      <c r="A20" s="2">
        <v>17</v>
      </c>
      <c r="B20" s="13" t="str">
        <f>'CUSTOMER REGISTER'!B19</f>
        <v>SUPER TANNERY LIMITED</v>
      </c>
      <c r="C20" s="14" t="str">
        <f>IFERROR(VLOOKUP(B20,'CUSTOMER REGISTER'!B:C,2,0),"")</f>
        <v>Fashion Shoe Div. 6, Akarampur, Unnao-209801</v>
      </c>
      <c r="D20" s="2" t="str">
        <f>IFERROR(VLOOKUP(B20,'CUSTOMER REGISTER'!B:D,3,0),"")</f>
        <v>0512-3935747</v>
      </c>
      <c r="E20" s="15">
        <f>SUMIF('SALES REGISTER'!C:C,B20,'SALES REGISTER'!G:G)</f>
        <v>0</v>
      </c>
      <c r="F20" s="36" t="str">
        <f t="shared" si="0"/>
        <v>(run macro to activate)</v>
      </c>
    </row>
    <row r="21" spans="1:6" ht="18" customHeight="1" x14ac:dyDescent="0.35">
      <c r="A21" s="5">
        <v>18</v>
      </c>
      <c r="B21" s="16" t="str">
        <f>'CUSTOMER REGISTER'!B20</f>
        <v>EURO INDIA EXPORT</v>
      </c>
      <c r="C21" s="17" t="str">
        <f>IFERROR(VLOOKUP(B21,'CUSTOMER REGISTER'!B:C,2,0),"")</f>
        <v>Jajmau, Kanpur</v>
      </c>
      <c r="D21" s="5" t="str">
        <f>IFERROR(VLOOKUP(B21,'CUSTOMER REGISTER'!B:D,3,0),"")</f>
        <v>9670288389</v>
      </c>
      <c r="E21" s="18">
        <f>SUMIF('SALES REGISTER'!C:C,B21,'SALES REGISTER'!G:G)</f>
        <v>0</v>
      </c>
      <c r="F21" s="36" t="str">
        <f t="shared" si="0"/>
        <v>(run macro to activate)</v>
      </c>
    </row>
    <row r="22" spans="1:6" ht="18" customHeight="1" x14ac:dyDescent="0.35">
      <c r="A22" s="2">
        <v>19</v>
      </c>
      <c r="B22" s="13" t="str">
        <f>'CUSTOMER REGISTER'!B21</f>
        <v>SULTAN TANNERS &amp; LEATHER PRODUCTS</v>
      </c>
      <c r="C22" s="14" t="str">
        <f>IFERROR(VLOOKUP(B22,'CUSTOMER REGISTER'!B:C,2,0),"")</f>
        <v>372/373 Sultan Villa, Jajmau, Kanpur</v>
      </c>
      <c r="D22" s="2" t="str">
        <f>IFERROR(VLOOKUP(B22,'CUSTOMER REGISTER'!B:D,3,0),"")</f>
        <v>9839888868</v>
      </c>
      <c r="E22" s="15">
        <f>SUMIF('SALES REGISTER'!C:C,B22,'SALES REGISTER'!G:G)</f>
        <v>0</v>
      </c>
      <c r="F22" s="36" t="str">
        <f t="shared" si="0"/>
        <v>(run macro to activate)</v>
      </c>
    </row>
    <row r="23" spans="1:6" ht="18" customHeight="1" x14ac:dyDescent="0.35">
      <c r="A23" s="5">
        <v>20</v>
      </c>
      <c r="B23" s="16" t="str">
        <f>'CUSTOMER REGISTER'!B22</f>
        <v>ROYAL EXPORT</v>
      </c>
      <c r="C23" s="17" t="str">
        <f>IFERROR(VLOOKUP(B23,'CUSTOMER REGISTER'!B:C,2,0),"")</f>
        <v>393/B Avas Vikas Colony, Unnao-209801</v>
      </c>
      <c r="D23" s="5" t="str">
        <f>IFERROR(VLOOKUP(B23,'CUSTOMER REGISTER'!B:D,3,0),"")</f>
        <v>9559212223</v>
      </c>
      <c r="E23" s="18">
        <f>SUMIF('SALES REGISTER'!C:C,B23,'SALES REGISTER'!G:G)</f>
        <v>0</v>
      </c>
      <c r="F23" s="36" t="str">
        <f t="shared" si="0"/>
        <v>(run macro to activate)</v>
      </c>
    </row>
    <row r="24" spans="1:6" ht="18" customHeight="1" x14ac:dyDescent="0.35">
      <c r="A24" s="2">
        <v>21</v>
      </c>
      <c r="B24" s="13" t="str">
        <f>'CUSTOMER REGISTER'!B23</f>
        <v>SG EXPORTS</v>
      </c>
      <c r="C24" s="14" t="str">
        <f>IFERROR(VLOOKUP(B24,'CUSTOMER REGISTER'!B:C,2,0),"")</f>
        <v>D-198 EPIP Site-V, Kasna, Gr. Noida-201306</v>
      </c>
      <c r="D24" s="2">
        <f>IFERROR(VLOOKUP(B24,'CUSTOMER REGISTER'!B:D,3,0),"")</f>
        <v>0</v>
      </c>
      <c r="E24" s="15">
        <f>SUMIF('SALES REGISTER'!C:C,B24,'SALES REGISTER'!G:G)</f>
        <v>0</v>
      </c>
      <c r="F24" s="36" t="str">
        <f t="shared" si="0"/>
        <v>(run macro to activate)</v>
      </c>
    </row>
    <row r="25" spans="1:6" ht="18" customHeight="1" x14ac:dyDescent="0.35">
      <c r="A25" s="5">
        <v>22</v>
      </c>
      <c r="B25" s="16" t="str">
        <f>'CUSTOMER REGISTER'!B24</f>
        <v>ZAZ WORLD</v>
      </c>
      <c r="C25" s="17" t="str">
        <f>IFERROR(VLOOKUP(B25,'CUSTOMER REGISTER'!B:C,2,0),"")</f>
        <v>150 Feet Road, Gajju Purwa, Jajmau, Kanpur</v>
      </c>
      <c r="D25" s="5">
        <f>IFERROR(VLOOKUP(B25,'CUSTOMER REGISTER'!B:D,3,0),"")</f>
        <v>0</v>
      </c>
      <c r="E25" s="18">
        <f>SUMIF('SALES REGISTER'!C:C,B25,'SALES REGISTER'!G:G)</f>
        <v>0</v>
      </c>
      <c r="F25" s="38" t="str">
        <f t="shared" si="0"/>
        <v>(run macro to activate)</v>
      </c>
    </row>
    <row r="26" spans="1:6" ht="18" customHeight="1" x14ac:dyDescent="0.35">
      <c r="A26" s="2">
        <v>23</v>
      </c>
      <c r="B26" s="13" t="str">
        <f>'CUSTOMER REGISTER'!B25</f>
        <v>BAL JARU INDIA PVT LTD</v>
      </c>
      <c r="C26" s="14" t="str">
        <f>IFERROR(VLOOKUP(B26,'CUSTOMER REGISTER'!B:C,2,0),"")</f>
        <v>14-A, 150 Feet Road, Jajmau, Kanpur-208010</v>
      </c>
      <c r="D26" s="2">
        <f>IFERROR(VLOOKUP(B26,'CUSTOMER REGISTER'!B:D,3,0),"")</f>
        <v>0</v>
      </c>
      <c r="E26" s="15">
        <f>SUMIF('SALES REGISTER'!C:C,B26,'SALES REGISTER'!G:G)</f>
        <v>0</v>
      </c>
      <c r="F26" s="36" t="str">
        <f t="shared" si="0"/>
        <v>(run macro to activate)</v>
      </c>
    </row>
    <row r="27" spans="1:6" ht="18" customHeight="1" x14ac:dyDescent="0.35">
      <c r="A27" s="5">
        <v>24</v>
      </c>
      <c r="B27" s="16" t="str">
        <f>'CUSTOMER REGISTER'!B26</f>
        <v>PERVEZ SHOES PVT LTD</v>
      </c>
      <c r="C27" s="17" t="str">
        <f>IFERROR(VLOOKUP(B27,'CUSTOMER REGISTER'!B:C,2,0),"")</f>
        <v>Jajmau, Kanpur</v>
      </c>
      <c r="D27" s="5" t="str">
        <f>IFERROR(VLOOKUP(B27,'CUSTOMER REGISTER'!B:D,3,0),"")</f>
        <v>9935606629</v>
      </c>
      <c r="E27" s="18">
        <f>SUMIF('SALES REGISTER'!C:C,B27,'SALES REGISTER'!G:G)</f>
        <v>0</v>
      </c>
      <c r="F27" s="42" t="str">
        <f t="shared" si="0"/>
        <v>(run macro to activate)</v>
      </c>
    </row>
    <row r="28" spans="1:6" ht="18" customHeight="1" x14ac:dyDescent="0.35">
      <c r="A28" s="2">
        <v>25</v>
      </c>
      <c r="B28" s="13" t="str">
        <f>'CUSTOMER REGISTER'!B27</f>
        <v>ADEEBA INTERNATIONAL</v>
      </c>
      <c r="C28" s="14" t="str">
        <f>IFERROR(VLOOKUP(B28,'CUSTOMER REGISTER'!B:C,2,0),"")</f>
        <v>123/1 Chabeliypurwa, Jajmau, Kanpur</v>
      </c>
      <c r="D28" s="2">
        <f>IFERROR(VLOOKUP(B28,'CUSTOMER REGISTER'!B:D,3,0),"")</f>
        <v>0</v>
      </c>
      <c r="E28" s="15">
        <f>SUMIF('SALES REGISTER'!C:C,B28,'SALES REGISTER'!G:G)</f>
        <v>0</v>
      </c>
      <c r="F28" s="38" t="str">
        <f t="shared" si="0"/>
        <v>(run macro to activate)</v>
      </c>
    </row>
    <row r="29" spans="1:6" ht="18" customHeight="1" x14ac:dyDescent="0.35">
      <c r="A29" s="5">
        <v>26</v>
      </c>
      <c r="B29" s="16" t="str">
        <f>'CUSTOMER REGISTER'!B28</f>
        <v>ALEX INTERNATIONAL</v>
      </c>
      <c r="C29" s="17" t="str">
        <f>IFERROR(VLOOKUP(B29,'CUSTOMER REGISTER'!B:C,2,0),"")</f>
        <v>Pandu Nagar, Kanpur</v>
      </c>
      <c r="D29" s="5">
        <f>IFERROR(VLOOKUP(B29,'CUSTOMER REGISTER'!B:D,3,0),"")</f>
        <v>0</v>
      </c>
      <c r="E29" s="18">
        <f>SUMIF('SALES REGISTER'!C:C,B29,'SALES REGISTER'!G:G)</f>
        <v>0</v>
      </c>
      <c r="F29" s="36" t="str">
        <f t="shared" si="0"/>
        <v>(run macro to activate)</v>
      </c>
    </row>
    <row r="30" spans="1:6" ht="24" customHeight="1" x14ac:dyDescent="0.35">
      <c r="A30" s="79" t="s">
        <v>132</v>
      </c>
      <c r="B30" s="61"/>
      <c r="C30" s="61"/>
      <c r="D30" s="61"/>
      <c r="E30" s="19">
        <f>SUM(E4:E29)</f>
        <v>8600</v>
      </c>
      <c r="F30" s="36" t="str">
        <f t="shared" si="0"/>
        <v/>
      </c>
    </row>
  </sheetData>
  <mergeCells count="3">
    <mergeCell ref="A2:E2"/>
    <mergeCell ref="A1:E1"/>
    <mergeCell ref="A30:D30"/>
  </mergeCells>
  <hyperlinks>
    <hyperlink ref="F25" r:id="rId1" display="Open Folder" xr:uid="{34E7CB7B-4B65-40C5-B1AC-D06FD1D05452}"/>
    <hyperlink ref="F27" r:id="rId2" display="Open Folder" xr:uid="{8BA31073-414E-4147-B857-7A6EAABCE498}"/>
    <hyperlink ref="F28" r:id="rId3" display="Open Folder" xr:uid="{26FB56E5-F5B9-446C-9A30-76AFF431613E}"/>
    <hyperlink ref="F4" r:id="rId4" display="Open Folder" xr:uid="{F33A849F-A140-4742-9B55-EBB2F51B993F}"/>
  </hyperlink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INSTRUCTIONS</vt:lpstr>
      <vt:lpstr>CUSTOMER REGISTER</vt:lpstr>
      <vt:lpstr>_INVOICE_COUNTER</vt:lpstr>
      <vt:lpstr>INVOICE</vt:lpstr>
      <vt:lpstr>SALES REGISTER</vt:lpstr>
      <vt:lpstr>COMPANY SUMMARY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Shobhit Singh</cp:lastModifiedBy>
  <cp:revision>0</cp:revision>
  <cp:lastPrinted>2026-04-10T06:05:01Z</cp:lastPrinted>
  <dcterms:created xsi:type="dcterms:W3CDTF">2026-04-05T17:15:11Z</dcterms:created>
  <dcterms:modified xsi:type="dcterms:W3CDTF">2026-04-10T06:05:51Z</dcterms:modified>
  <dc:language>en-US</dc:language>
</cp:coreProperties>
</file>